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rbe\Github\AshleyFurnitureTripleChoice\"/>
    </mc:Choice>
  </mc:AlternateContent>
  <xr:revisionPtr revIDLastSave="0" documentId="13_ncr:1_{DCBF4A1F-2CF9-4C1B-AAB1-BBD262D48D36}" xr6:coauthVersionLast="47" xr6:coauthVersionMax="47" xr10:uidLastSave="{00000000-0000-0000-0000-000000000000}"/>
  <bookViews>
    <workbookView xWindow="-108" yWindow="-108" windowWidth="41496" windowHeight="16896" xr2:uid="{00000000-000D-0000-FFFF-FFFF00000000}"/>
  </bookViews>
  <sheets>
    <sheet name="tripchoice" sheetId="11" r:id="rId1"/>
    <sheet name="Formulas" sheetId="2" state="hidden" r:id="rId2"/>
  </sheets>
  <definedNames>
    <definedName name="_xleta.ROUNDUP" hidden="1" xlm="1">#NAME?</definedName>
    <definedName name="_xlnm.Print_Area" localSheetId="0">tripchoice!$N$4:$W$28</definedName>
    <definedName name="StateSelection">Formulas!#REF!</definedName>
    <definedName name="StateTax">Formulas!#REF!</definedName>
    <definedName name="YesNO">Formulas!#REF!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2" l="1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C53" i="2" l="1"/>
  <c r="Q6" i="2" s="1"/>
  <c r="K24" i="11" s="1"/>
  <c r="J15" i="2" l="1"/>
  <c r="J14" i="2"/>
  <c r="J13" i="2"/>
  <c r="J12" i="2"/>
  <c r="J11" i="2"/>
  <c r="J10" i="2"/>
  <c r="J9" i="2"/>
  <c r="J8" i="2"/>
  <c r="J7" i="2"/>
  <c r="J6" i="2"/>
  <c r="J5" i="2"/>
  <c r="J4" i="2"/>
  <c r="J3" i="2"/>
  <c r="F15" i="2"/>
  <c r="F14" i="2"/>
  <c r="F13" i="2"/>
  <c r="F12" i="2"/>
  <c r="F11" i="2"/>
  <c r="F10" i="2"/>
  <c r="F9" i="2"/>
  <c r="F8" i="2"/>
  <c r="F7" i="2"/>
  <c r="F6" i="2"/>
  <c r="F5" i="2"/>
  <c r="F4" i="2"/>
  <c r="B15" i="2"/>
  <c r="B14" i="2"/>
  <c r="B13" i="2"/>
  <c r="B12" i="2"/>
  <c r="B11" i="2"/>
  <c r="B10" i="2"/>
  <c r="B9" i="2"/>
  <c r="B8" i="2"/>
  <c r="B7" i="2"/>
  <c r="B6" i="2"/>
  <c r="B5" i="2"/>
  <c r="B4" i="2"/>
  <c r="C48" i="2" l="1"/>
  <c r="K28" i="11" l="1"/>
  <c r="L27" i="11"/>
  <c r="L26" i="11"/>
  <c r="R13" i="11"/>
  <c r="Q12" i="11"/>
  <c r="O27" i="11"/>
  <c r="Q11" i="11"/>
  <c r="U7" i="11"/>
  <c r="S7" i="11"/>
  <c r="Q7" i="11"/>
  <c r="I1" i="11"/>
  <c r="D17" i="2" l="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O15" i="11"/>
  <c r="A43" i="11" s="1"/>
  <c r="T13" i="11"/>
  <c r="R35" i="11" l="1"/>
  <c r="A40" i="11"/>
  <c r="A41" i="11"/>
  <c r="A42" i="11"/>
  <c r="V13" i="11" l="1"/>
  <c r="A45" i="11" l="1"/>
  <c r="A44" i="2" s="1"/>
  <c r="C49" i="2" l="1"/>
  <c r="S12" i="11" l="1"/>
  <c r="U12" i="11" l="1"/>
  <c r="Q10" i="11"/>
  <c r="U11" i="11"/>
  <c r="V27" i="11"/>
  <c r="T37" i="11"/>
  <c r="V37" i="11" s="1"/>
  <c r="T55" i="11"/>
  <c r="V55" i="11" s="1"/>
  <c r="T54" i="11"/>
  <c r="V54" i="11" s="1"/>
  <c r="T53" i="11"/>
  <c r="V53" i="11" s="1"/>
  <c r="T52" i="11"/>
  <c r="V52" i="11" s="1"/>
  <c r="T51" i="11"/>
  <c r="V51" i="11" s="1"/>
  <c r="T50" i="11"/>
  <c r="V50" i="11" s="1"/>
  <c r="T49" i="11"/>
  <c r="V49" i="11" s="1"/>
  <c r="T48" i="11"/>
  <c r="V48" i="11" s="1"/>
  <c r="T47" i="11"/>
  <c r="V47" i="11" s="1"/>
  <c r="T46" i="11"/>
  <c r="V46" i="11" s="1"/>
  <c r="T45" i="11"/>
  <c r="V45" i="11" s="1"/>
  <c r="T44" i="11"/>
  <c r="V44" i="11" s="1"/>
  <c r="T43" i="11"/>
  <c r="V43" i="11" s="1"/>
  <c r="T42" i="11"/>
  <c r="V42" i="11" s="1"/>
  <c r="T41" i="11"/>
  <c r="V41" i="11" s="1"/>
  <c r="T40" i="11"/>
  <c r="V40" i="11" s="1"/>
  <c r="T39" i="11"/>
  <c r="V39" i="11" s="1"/>
  <c r="T38" i="11"/>
  <c r="V38" i="11" s="1"/>
  <c r="T36" i="11"/>
  <c r="S11" i="11"/>
  <c r="S9" i="11"/>
  <c r="Q9" i="11"/>
  <c r="U6" i="11"/>
  <c r="S6" i="11"/>
  <c r="K1" i="11"/>
  <c r="J1" i="11"/>
  <c r="V36" i="11" l="1"/>
  <c r="V35" i="11" s="1"/>
  <c r="T35" i="11"/>
  <c r="S10" i="11"/>
  <c r="U10" i="11" s="1"/>
  <c r="V11" i="11" s="1"/>
  <c r="R11" i="11"/>
  <c r="U9" i="11" l="1"/>
  <c r="T11" i="11"/>
  <c r="K44" i="2" l="1"/>
  <c r="K15" i="11" s="1"/>
  <c r="Q14" i="11" s="1"/>
  <c r="Q8" i="11"/>
  <c r="S14" i="11" l="1"/>
  <c r="U8" i="11"/>
  <c r="V9" i="11" s="1"/>
  <c r="U16" i="11" s="1"/>
  <c r="R9" i="11"/>
  <c r="Q16" i="11" s="1"/>
  <c r="S8" i="11"/>
  <c r="T9" i="11" s="1"/>
  <c r="S16" i="11" s="1"/>
  <c r="G17" i="2"/>
  <c r="C17" i="2"/>
  <c r="C56" i="2"/>
  <c r="U14" i="11" l="1"/>
  <c r="D56" i="2"/>
  <c r="E56" i="2"/>
  <c r="E60" i="2" l="1"/>
  <c r="D60" i="2"/>
  <c r="C44" i="2" s="1"/>
  <c r="K16" i="11" l="1"/>
  <c r="U15" i="11" l="1"/>
  <c r="E10" i="11" s="1"/>
  <c r="Q15" i="11"/>
  <c r="C10" i="11" s="1"/>
  <c r="S15" i="11"/>
  <c r="D10" i="11" s="1"/>
  <c r="Q17" i="11" l="1"/>
  <c r="C9" i="11" s="1"/>
  <c r="S17" i="11"/>
  <c r="D9" i="11" s="1"/>
  <c r="U17" i="11"/>
  <c r="E11" i="11" s="1"/>
  <c r="C8" i="11" l="1"/>
  <c r="C11" i="11"/>
  <c r="C7" i="11"/>
  <c r="C6" i="11"/>
  <c r="D8" i="11"/>
  <c r="D7" i="11"/>
  <c r="D6" i="11"/>
  <c r="D11" i="11"/>
  <c r="E8" i="11"/>
  <c r="K6" i="11" s="1"/>
  <c r="V18" i="11" s="1"/>
  <c r="U18" i="11" s="1"/>
  <c r="E7" i="11"/>
  <c r="E6" i="11"/>
  <c r="AB11" i="11"/>
  <c r="AB12" i="11" s="1"/>
  <c r="AB14" i="11" s="1"/>
  <c r="AB15" i="11" s="1"/>
  <c r="E9" i="11"/>
  <c r="I6" i="11" l="1"/>
  <c r="R18" i="11" s="1"/>
  <c r="J6" i="11"/>
  <c r="T18" i="11" s="1"/>
  <c r="S19" i="11" s="1"/>
  <c r="S20" i="11" s="1"/>
  <c r="U19" i="11"/>
  <c r="AB23" i="11" l="1"/>
  <c r="Z27" i="11" s="1"/>
  <c r="U20" i="11"/>
  <c r="Q19" i="11"/>
  <c r="Q20" i="11" s="1"/>
  <c r="Q18" i="11"/>
  <c r="S1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Grigsby</author>
  </authors>
  <commentList>
    <comment ref="H3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Add term length per the promotion. Option 3 should be short term +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regular retail with no discounts.</t>
        </r>
      </text>
    </comment>
    <comment ref="H10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% discount or leave blank.  This corresponds the term length listed above</t>
        </r>
      </text>
    </comment>
    <comment ref="H1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$ discount or leave blank.  This corresponds the term length listed above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" authorId="0" shapeId="0" xr:uid="{4C650851-D9D4-49C4-8DF7-3F3239AA481C}">
      <text>
        <r>
          <rPr>
            <b/>
            <sz val="9"/>
            <color indexed="81"/>
            <rFont val="Tahoma"/>
            <family val="2"/>
          </rPr>
          <t>regular retail with no discounts.</t>
        </r>
      </text>
    </comment>
    <comment ref="H15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Furniture PPP dollars, leave blank to use the auto calculation based of regular retail or enter the amount you want to adjust it 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6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Delivery dollars, leave blank to use the auto calculation nased of regular retail or enter the amount you want to adjust it to</t>
        </r>
      </text>
    </comment>
    <comment ref="H20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All Mattress pad dollars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4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All GBS dollars for the power base</t>
        </r>
      </text>
    </comment>
    <comment ref="H31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General tax rate for the order.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2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If there is tax on delivery place an "X" in the box.  Leave blank if tax is not charged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>If there is tax on PPP place an "X" in the box.  Leave blank if tax is not charged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<sst xmlns="http://schemas.openxmlformats.org/spreadsheetml/2006/main" count="153" uniqueCount="119">
  <si>
    <t>Delivery</t>
  </si>
  <si>
    <t>Monthly Payment</t>
  </si>
  <si>
    <t>Guest's Name</t>
  </si>
  <si>
    <t>______________</t>
  </si>
  <si>
    <t>Sales Person's Name</t>
  </si>
  <si>
    <t>Option 1</t>
  </si>
  <si>
    <t>Option 2</t>
  </si>
  <si>
    <t>Option 3</t>
  </si>
  <si>
    <t>Terms:</t>
  </si>
  <si>
    <t>Retail Furniture Price:</t>
  </si>
  <si>
    <t>Applied Promotion:</t>
  </si>
  <si>
    <t>Tax:</t>
  </si>
  <si>
    <t>Grand Total:</t>
  </si>
  <si>
    <t>Down Payment:</t>
  </si>
  <si>
    <t>Total Amount Financed:</t>
  </si>
  <si>
    <t>Aprox. Monthly Payment:</t>
  </si>
  <si>
    <t>Financing Vendor</t>
  </si>
  <si>
    <t>Account #</t>
  </si>
  <si>
    <t>Open to Buy</t>
  </si>
  <si>
    <t>ISSUE RECHECK</t>
  </si>
  <si>
    <t>Sales Order #</t>
  </si>
  <si>
    <t>Manager Approval</t>
  </si>
  <si>
    <t>Tax Rate</t>
  </si>
  <si>
    <t>STEPS TO FILL OUT TRIPLE CHOICE</t>
  </si>
  <si>
    <r>
      <rPr>
        <b/>
        <sz val="14"/>
        <color theme="1"/>
        <rFont val="Calibri"/>
        <family val="2"/>
        <scheme val="minor"/>
      </rPr>
      <t>STEP 1:</t>
    </r>
    <r>
      <rPr>
        <sz val="9"/>
        <color theme="1"/>
        <rFont val="Calibri"/>
        <family val="2"/>
        <scheme val="minor"/>
      </rPr>
      <t xml:space="preserve"> Fulfillment Type, click yellow cell, select from pull down</t>
    </r>
  </si>
  <si>
    <t>White Glove</t>
  </si>
  <si>
    <r>
      <rPr>
        <b/>
        <sz val="14"/>
        <color theme="1"/>
        <rFont val="Calibri"/>
        <family val="2"/>
        <scheme val="minor"/>
      </rPr>
      <t>STEP 2:</t>
    </r>
    <r>
      <rPr>
        <sz val="9"/>
        <color theme="1"/>
        <rFont val="Calibri"/>
        <family val="2"/>
        <scheme val="minor"/>
      </rPr>
      <t xml:space="preserve"> TERMs are locked, no adjustment needed</t>
    </r>
  </si>
  <si>
    <t>Term</t>
  </si>
  <si>
    <t xml:space="preserve">                         Select the APR from 0%, 9.99%, or 14.99%</t>
  </si>
  <si>
    <t>APR</t>
  </si>
  <si>
    <t>___________________________</t>
  </si>
  <si>
    <t>No Down</t>
  </si>
  <si>
    <r>
      <rPr>
        <b/>
        <sz val="14"/>
        <color theme="1"/>
        <rFont val="Calibri"/>
        <family val="2"/>
        <scheme val="minor"/>
      </rPr>
      <t>STEP 3:</t>
    </r>
    <r>
      <rPr>
        <sz val="9"/>
        <color theme="1"/>
        <rFont val="Calibri"/>
        <family val="2"/>
        <scheme val="minor"/>
      </rPr>
      <t xml:space="preserve"> Select the Down Payment from the pull down menu.</t>
    </r>
  </si>
  <si>
    <t>DP Pull Down</t>
  </si>
  <si>
    <t>This calculator will show what the guest would pay approximately in interest on their personal credit card</t>
  </si>
  <si>
    <t xml:space="preserve">                         if the guest is putting a different amount down</t>
  </si>
  <si>
    <t>Default Down payment</t>
  </si>
  <si>
    <t xml:space="preserve">                         enter the amount in the Adjust DP Box</t>
  </si>
  <si>
    <t>Promotional APR:</t>
  </si>
  <si>
    <t>Adjusted $ DP</t>
  </si>
  <si>
    <t>*Box will turn red if a "space" or invalid character is entered</t>
  </si>
  <si>
    <r>
      <rPr>
        <b/>
        <sz val="14"/>
        <color theme="1"/>
        <rFont val="Calibri"/>
        <family val="2"/>
        <scheme val="minor"/>
      </rPr>
      <t>STEP 4a:</t>
    </r>
    <r>
      <rPr>
        <sz val="9"/>
        <color theme="1"/>
        <rFont val="Calibri"/>
        <family val="2"/>
        <scheme val="minor"/>
      </rPr>
      <t xml:space="preserve"> Enter Furniture at REGULAR retail</t>
    </r>
  </si>
  <si>
    <t>Furniture A</t>
  </si>
  <si>
    <t>Annual Percentage Rate</t>
  </si>
  <si>
    <t>T&amp;D</t>
  </si>
  <si>
    <t xml:space="preserve">                         Enter either a % discount or a $ discount</t>
  </si>
  <si>
    <t>% discount</t>
  </si>
  <si>
    <t>Number Payments</t>
  </si>
  <si>
    <t>T&amp;D+10%</t>
  </si>
  <si>
    <t xml:space="preserve">                         Validate that the discount entered is valid with the term</t>
  </si>
  <si>
    <t>$ discount</t>
  </si>
  <si>
    <t>Grand Total from Option 3</t>
  </si>
  <si>
    <r>
      <rPr>
        <b/>
        <sz val="14"/>
        <color theme="1"/>
        <rFont val="Calibri"/>
        <family val="2"/>
        <scheme val="minor"/>
      </rPr>
      <t>STEP 4b:</t>
    </r>
    <r>
      <rPr>
        <sz val="9"/>
        <color theme="1"/>
        <rFont val="Calibri"/>
        <family val="2"/>
        <scheme val="minor"/>
      </rPr>
      <t xml:space="preserve"> Enter Additional Furniture here that has different</t>
    </r>
  </si>
  <si>
    <t>Furniture B</t>
  </si>
  <si>
    <t>Bedding Retail Price/Protector:</t>
  </si>
  <si>
    <t xml:space="preserve">                         discounts than "Furniture A" area</t>
  </si>
  <si>
    <t xml:space="preserve">                         Great for BOGO or multiple tiers one on order</t>
  </si>
  <si>
    <r>
      <t xml:space="preserve">Life Moments Protection:
</t>
    </r>
    <r>
      <rPr>
        <sz val="9"/>
        <rFont val="Calibri"/>
        <family val="2"/>
        <scheme val="minor"/>
      </rPr>
      <t>guest initials if declined_______</t>
    </r>
  </si>
  <si>
    <t>Total Paid over period</t>
  </si>
  <si>
    <t>Mattress Only</t>
  </si>
  <si>
    <t>Amount paid over Grand Total</t>
  </si>
  <si>
    <t>Personal Credit Card Interest</t>
  </si>
  <si>
    <t xml:space="preserve">                         Enter Total dollars from Mattress Protector</t>
  </si>
  <si>
    <t>Matt Pad</t>
  </si>
  <si>
    <t>Power Base</t>
  </si>
  <si>
    <t>AUTO</t>
  </si>
  <si>
    <t>Foundation/Pillow</t>
  </si>
  <si>
    <t xml:space="preserve">                      Enter either a % discount or a $ discount</t>
  </si>
  <si>
    <t>Other Adjustments</t>
  </si>
  <si>
    <t>Charge Tax on Del</t>
  </si>
  <si>
    <t>blank if no</t>
  </si>
  <si>
    <t>SCRATCHPAD</t>
  </si>
  <si>
    <t>Disc %</t>
  </si>
  <si>
    <t>Regular Retail</t>
  </si>
  <si>
    <t>QTY</t>
  </si>
  <si>
    <t>Discount Amount</t>
  </si>
  <si>
    <t>After Discount</t>
  </si>
  <si>
    <t>GRAND TOTAL</t>
  </si>
  <si>
    <t>Item 1</t>
  </si>
  <si>
    <t>Item 2</t>
  </si>
  <si>
    <t>Item 3</t>
  </si>
  <si>
    <t>Item 4</t>
  </si>
  <si>
    <t>Choose Fulfillment</t>
  </si>
  <si>
    <t>Completion Services: White Glove, Assembly Included, Service in-home</t>
  </si>
  <si>
    <t>Door Step</t>
  </si>
  <si>
    <t>Completion Services: Door Step, Assembly not included, Service NOT in-home</t>
  </si>
  <si>
    <t>Pick-Up</t>
  </si>
  <si>
    <t>Completion Services: Pick-Up, Assembly not included, Service NOT in-home</t>
  </si>
  <si>
    <t>Life Moments Protection</t>
  </si>
  <si>
    <t>GBS POWER BASE</t>
  </si>
  <si>
    <t>MIN</t>
  </si>
  <si>
    <t>MAX</t>
  </si>
  <si>
    <t>FEE</t>
  </si>
  <si>
    <t>Min</t>
  </si>
  <si>
    <t>Max</t>
  </si>
  <si>
    <t>Price</t>
  </si>
  <si>
    <t>Furniture 1</t>
  </si>
  <si>
    <t>Furniture 2</t>
  </si>
  <si>
    <t>WG</t>
  </si>
  <si>
    <t>DS</t>
  </si>
  <si>
    <t>Total</t>
  </si>
  <si>
    <t>Charge Tax on PPP</t>
  </si>
  <si>
    <t>Power Base PPP</t>
  </si>
  <si>
    <t xml:space="preserve">                         Enter Total dollars from POWER BASE PPP</t>
  </si>
  <si>
    <r>
      <rPr>
        <b/>
        <i/>
        <u/>
        <sz val="7"/>
        <rFont val="Calibri"/>
        <family val="2"/>
        <scheme val="minor"/>
      </rPr>
      <t>Please Note:</t>
    </r>
    <r>
      <rPr>
        <sz val="7"/>
        <rFont val="Calibri"/>
        <family val="2"/>
        <scheme val="minor"/>
      </rPr>
      <t xml:space="preserve"> </t>
    </r>
    <r>
      <rPr>
        <i/>
        <sz val="7"/>
        <rFont val="Calibri"/>
        <family val="2"/>
        <scheme val="minor"/>
      </rPr>
      <t>Life Moments Protection</t>
    </r>
    <r>
      <rPr>
        <sz val="7"/>
        <rFont val="Calibri"/>
        <family val="2"/>
        <scheme val="minor"/>
      </rPr>
      <t xml:space="preserve"> and </t>
    </r>
    <r>
      <rPr>
        <i/>
        <sz val="7"/>
        <rFont val="Calibri"/>
        <family val="2"/>
        <scheme val="minor"/>
      </rPr>
      <t>Minimum Down Payment</t>
    </r>
    <r>
      <rPr>
        <sz val="7"/>
        <rFont val="Calibri"/>
        <family val="2"/>
        <scheme val="minor"/>
      </rPr>
      <t xml:space="preserve"> may be required to qualify for certain financing promotions.  All quotes are approximate and for a limited time only</t>
    </r>
  </si>
  <si>
    <t>Furniture</t>
  </si>
  <si>
    <r>
      <rPr>
        <b/>
        <sz val="14"/>
        <color theme="1"/>
        <rFont val="Calibri"/>
        <family val="2"/>
        <scheme val="minor"/>
      </rPr>
      <t>STEP 6:</t>
    </r>
    <r>
      <rPr>
        <sz val="9"/>
        <color theme="1"/>
        <rFont val="Calibri"/>
        <family val="2"/>
        <scheme val="minor"/>
      </rPr>
      <t xml:space="preserve"> Enter REGULAR RETAIL for:                                          (No Delivery Fee)</t>
    </r>
  </si>
  <si>
    <t xml:space="preserve">                      Flat Foundation / Metal Bed Frames / Pillows / Sheets</t>
  </si>
  <si>
    <t>FINANCE CALCULATOR</t>
  </si>
  <si>
    <t>Minimum Monthly Payment is</t>
  </si>
  <si>
    <t>Amount Financed from Option 3</t>
  </si>
  <si>
    <r>
      <rPr>
        <b/>
        <sz val="14"/>
        <color theme="1"/>
        <rFont val="Calibri"/>
        <family val="2"/>
        <scheme val="minor"/>
      </rPr>
      <t>STEP 5a:</t>
    </r>
    <r>
      <rPr>
        <sz val="9"/>
        <color theme="1"/>
        <rFont val="Calibri"/>
        <family val="2"/>
        <scheme val="minor"/>
      </rPr>
      <t xml:space="preserve"> Enter Mattress Total REGULAR retail</t>
    </r>
  </si>
  <si>
    <r>
      <rPr>
        <b/>
        <sz val="14"/>
        <color theme="1"/>
        <rFont val="Calibri"/>
        <family val="2"/>
        <scheme val="minor"/>
      </rPr>
      <t xml:space="preserve">STEP 5b: </t>
    </r>
    <r>
      <rPr>
        <sz val="9"/>
        <color theme="1"/>
        <rFont val="Calibri"/>
        <family val="2"/>
        <scheme val="minor"/>
      </rPr>
      <t>Enter Power Bases Total REGULAR retail</t>
    </r>
  </si>
  <si>
    <t>ENTER "0" for NO Delivery or NO PPP</t>
  </si>
  <si>
    <t xml:space="preserve">Enter Amount to Override calculation </t>
  </si>
  <si>
    <t>Furniture PPP ADJUST</t>
  </si>
  <si>
    <t>Furniture DEL ADJUST</t>
  </si>
  <si>
    <t>Mat/Base DEL ADJUST</t>
  </si>
  <si>
    <t>ENTER "0" for NO 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</si>
</sst>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&quot;$&quot;#,##0"/>
    <numFmt numFmtId="167" formatCode="0\ &quot;months&quot;"/>
    <numFmt numFmtId="168" formatCode="0.0%"/>
    <numFmt numFmtId="169" formatCode="_(&quot;$&quot;* #,##0_);_(&quot;$&quot;* \(#,##0\);_(&quot;$&quot;* &quot;-&quot;??_);_(@_)"/>
    <numFmt numFmtId="170" formatCode="&quot;$&quot;#,##0.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rgb="FF000000"/>
      <name val="Arial"/>
      <family val="2"/>
    </font>
    <font>
      <sz val="12"/>
      <color theme="1"/>
      <name val="Gotham Black"/>
      <family val="3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22"/>
      <color theme="1"/>
      <name val="Gotham Black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7"/>
      <name val="Calibri"/>
      <family val="2"/>
      <scheme val="minor"/>
    </font>
    <font>
      <b/>
      <i/>
      <u/>
      <sz val="7"/>
      <name val="Calibri"/>
      <family val="2"/>
      <scheme val="minor"/>
    </font>
    <font>
      <i/>
      <sz val="7"/>
      <name val="Calibri"/>
      <family val="2"/>
      <scheme val="minor"/>
    </font>
    <font>
      <b/>
      <sz val="40"/>
      <name val="Calibri"/>
      <family val="2"/>
      <scheme val="minor"/>
    </font>
    <font>
      <sz val="16"/>
      <name val="Calibri"/>
      <family val="2"/>
      <scheme val="minor"/>
    </font>
    <font>
      <sz val="11"/>
      <color rgb="FF3F3F76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Amasis MT Pro Black"/>
      <family val="1"/>
    </font>
    <font>
      <b/>
      <sz val="28"/>
      <color rgb="FF3F3F76"/>
      <name val="Calibri"/>
      <family val="2"/>
      <scheme val="minor"/>
    </font>
    <font>
      <sz val="26"/>
      <color theme="0"/>
      <name val="Amasis MT Pro Black"/>
      <family val="1"/>
    </font>
    <font>
      <b/>
      <sz val="48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003399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1499984740745262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6" borderId="0" applyNumberFormat="0" applyBorder="0" applyAlignment="0" applyProtection="0"/>
    <xf numFmtId="0" fontId="22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7" borderId="0" applyNumberFormat="0" applyBorder="0" applyAlignment="0" applyProtection="0"/>
    <xf numFmtId="0" fontId="26" fillId="11" borderId="0" applyNumberFormat="0" applyBorder="0" applyAlignment="0" applyProtection="0"/>
    <xf numFmtId="0" fontId="27" fillId="28" borderId="61" applyNumberFormat="0" applyAlignment="0" applyProtection="0"/>
    <xf numFmtId="0" fontId="28" fillId="29" borderId="62" applyNumberFormat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12" borderId="0" applyNumberFormat="0" applyBorder="0" applyAlignment="0" applyProtection="0"/>
    <xf numFmtId="0" fontId="31" fillId="0" borderId="63" applyNumberFormat="0" applyFill="0" applyAlignment="0" applyProtection="0"/>
    <xf numFmtId="0" fontId="32" fillId="0" borderId="64" applyNumberFormat="0" applyFill="0" applyAlignment="0" applyProtection="0"/>
    <xf numFmtId="0" fontId="33" fillId="0" borderId="65" applyNumberFormat="0" applyFill="0" applyAlignment="0" applyProtection="0"/>
    <xf numFmtId="0" fontId="33" fillId="0" borderId="0" applyNumberFormat="0" applyFill="0" applyBorder="0" applyAlignment="0" applyProtection="0"/>
    <xf numFmtId="0" fontId="34" fillId="15" borderId="61" applyNumberFormat="0" applyAlignment="0" applyProtection="0"/>
    <xf numFmtId="0" fontId="35" fillId="0" borderId="66" applyNumberFormat="0" applyFill="0" applyAlignment="0" applyProtection="0"/>
    <xf numFmtId="0" fontId="36" fillId="30" borderId="0" applyNumberFormat="0" applyBorder="0" applyAlignment="0" applyProtection="0"/>
    <xf numFmtId="0" fontId="23" fillId="0" borderId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37" fillId="28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69" applyNumberFormat="0" applyFill="0" applyAlignment="0" applyProtection="0"/>
    <xf numFmtId="0" fontId="40" fillId="0" borderId="0" applyNumberFormat="0" applyFill="0" applyBorder="0" applyAlignment="0" applyProtection="0"/>
    <xf numFmtId="0" fontId="23" fillId="0" borderId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1" fillId="0" borderId="0"/>
    <xf numFmtId="0" fontId="27" fillId="28" borderId="61" applyNumberFormat="0" applyAlignment="0" applyProtection="0"/>
    <xf numFmtId="0" fontId="34" fillId="15" borderId="61" applyNumberForma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37" fillId="28" borderId="68" applyNumberFormat="0" applyAlignment="0" applyProtection="0"/>
    <xf numFmtId="0" fontId="39" fillId="0" borderId="69" applyNumberFormat="0" applyFill="0" applyAlignment="0" applyProtection="0"/>
    <xf numFmtId="44" fontId="22" fillId="0" borderId="0" applyFont="0" applyFill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28" borderId="0" applyNumberFormat="0" applyBorder="0" applyAlignment="0" applyProtection="0"/>
    <xf numFmtId="0" fontId="22" fillId="28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6" borderId="0" applyNumberFormat="0" applyBorder="0" applyAlignment="0" applyProtection="0"/>
    <xf numFmtId="0" fontId="22" fillId="19" borderId="0" applyNumberFormat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34" fillId="28" borderId="61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9" fillId="0" borderId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0" fontId="23" fillId="31" borderId="67" applyNumberFormat="0" applyFont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56" fillId="36" borderId="85" applyNumberFormat="0" applyAlignment="0" applyProtection="0"/>
  </cellStyleXfs>
  <cellXfs count="335">
    <xf numFmtId="0" fontId="0" fillId="0" borderId="0" xfId="0"/>
    <xf numFmtId="0" fontId="0" fillId="0" borderId="0" xfId="0" applyAlignment="1">
      <alignment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1" fillId="0" borderId="31" xfId="0" applyFont="1" applyBorder="1" applyAlignment="1">
      <alignment horizontal="center" vertical="center" wrapText="1"/>
    </xf>
    <xf numFmtId="164" fontId="11" fillId="3" borderId="3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44" fontId="0" fillId="0" borderId="0" xfId="2" applyFont="1"/>
    <xf numFmtId="44" fontId="0" fillId="0" borderId="0" xfId="2" applyFont="1" applyAlignment="1">
      <alignment horizontal="right"/>
    </xf>
    <xf numFmtId="44" fontId="0" fillId="4" borderId="1" xfId="2" applyFont="1" applyFill="1" applyBorder="1" applyProtection="1"/>
    <xf numFmtId="44" fontId="0" fillId="5" borderId="1" xfId="2" applyFont="1" applyFill="1" applyBorder="1" applyProtection="1"/>
    <xf numFmtId="44" fontId="18" fillId="0" borderId="0" xfId="2" applyFont="1" applyFill="1" applyAlignment="1" applyProtection="1">
      <alignment horizontal="left"/>
    </xf>
    <xf numFmtId="44" fontId="18" fillId="0" borderId="0" xfId="2" applyFont="1" applyFill="1" applyAlignment="1" applyProtection="1">
      <alignment horizontal="left" vertical="center"/>
    </xf>
    <xf numFmtId="0" fontId="0" fillId="0" borderId="40" xfId="0" applyBorder="1"/>
    <xf numFmtId="10" fontId="0" fillId="0" borderId="0" xfId="0" applyNumberFormat="1"/>
    <xf numFmtId="169" fontId="0" fillId="0" borderId="0" xfId="2" applyNumberFormat="1" applyFont="1" applyAlignment="1">
      <alignment horizontal="right"/>
    </xf>
    <xf numFmtId="169" fontId="0" fillId="0" borderId="0" xfId="2" applyNumberFormat="1" applyFont="1"/>
    <xf numFmtId="0" fontId="0" fillId="0" borderId="0" xfId="2" applyNumberFormat="1" applyFont="1" applyAlignment="1">
      <alignment horizontal="right"/>
    </xf>
    <xf numFmtId="0" fontId="11" fillId="3" borderId="31" xfId="0" applyFont="1" applyFill="1" applyBorder="1" applyAlignment="1">
      <alignment horizontal="center" vertical="center"/>
    </xf>
    <xf numFmtId="0" fontId="0" fillId="32" borderId="0" xfId="0" applyFill="1"/>
    <xf numFmtId="164" fontId="11" fillId="3" borderId="0" xfId="0" applyNumberFormat="1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44" fontId="0" fillId="32" borderId="0" xfId="0" applyNumberFormat="1" applyFill="1"/>
    <xf numFmtId="0" fontId="0" fillId="32" borderId="0" xfId="0" applyFill="1" applyAlignment="1">
      <alignment horizontal="center"/>
    </xf>
    <xf numFmtId="44" fontId="0" fillId="0" borderId="0" xfId="0" applyNumberFormat="1"/>
    <xf numFmtId="44" fontId="0" fillId="4" borderId="11" xfId="2" applyFont="1" applyFill="1" applyBorder="1" applyProtection="1"/>
    <xf numFmtId="44" fontId="0" fillId="5" borderId="11" xfId="2" applyFont="1" applyFill="1" applyBorder="1" applyProtection="1"/>
    <xf numFmtId="44" fontId="0" fillId="5" borderId="15" xfId="2" applyFont="1" applyFill="1" applyBorder="1" applyProtection="1"/>
    <xf numFmtId="44" fontId="0" fillId="5" borderId="13" xfId="2" applyFont="1" applyFill="1" applyBorder="1" applyProtection="1"/>
    <xf numFmtId="44" fontId="18" fillId="34" borderId="0" xfId="2" applyFont="1" applyFill="1" applyBorder="1" applyAlignment="1" applyProtection="1">
      <alignment horizontal="left"/>
    </xf>
    <xf numFmtId="44" fontId="18" fillId="34" borderId="0" xfId="2" applyFont="1" applyFill="1" applyBorder="1" applyAlignment="1" applyProtection="1">
      <alignment horizontal="left" vertical="center"/>
    </xf>
    <xf numFmtId="9" fontId="44" fillId="0" borderId="43" xfId="1" applyFont="1" applyBorder="1" applyAlignment="1" applyProtection="1">
      <alignment horizontal="center" vertical="top"/>
    </xf>
    <xf numFmtId="9" fontId="43" fillId="0" borderId="22" xfId="1" applyFont="1" applyBorder="1" applyAlignment="1" applyProtection="1">
      <alignment horizontal="center" vertical="center"/>
    </xf>
    <xf numFmtId="9" fontId="44" fillId="0" borderId="77" xfId="1" applyFont="1" applyBorder="1" applyAlignment="1" applyProtection="1">
      <alignment horizontal="center" vertical="top"/>
    </xf>
    <xf numFmtId="9" fontId="44" fillId="0" borderId="81" xfId="1" applyFont="1" applyBorder="1" applyAlignment="1" applyProtection="1">
      <alignment horizontal="center" vertical="top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34" borderId="0" xfId="0" applyFill="1"/>
    <xf numFmtId="0" fontId="12" fillId="0" borderId="34" xfId="0" applyFont="1" applyBorder="1" applyAlignment="1">
      <alignment horizontal="left" vertical="center" wrapText="1"/>
    </xf>
    <xf numFmtId="0" fontId="42" fillId="0" borderId="3" xfId="0" applyFont="1" applyBorder="1" applyAlignment="1">
      <alignment vertical="center" wrapText="1"/>
    </xf>
    <xf numFmtId="0" fontId="0" fillId="0" borderId="2" xfId="0" applyBorder="1" applyAlignment="1">
      <alignment horizontal="right" vertical="center"/>
    </xf>
    <xf numFmtId="0" fontId="12" fillId="0" borderId="41" xfId="0" applyFont="1" applyBorder="1" applyAlignment="1">
      <alignment vertical="center" wrapText="1"/>
    </xf>
    <xf numFmtId="0" fontId="0" fillId="0" borderId="54" xfId="0" applyBorder="1"/>
    <xf numFmtId="0" fontId="0" fillId="0" borderId="55" xfId="0" applyBorder="1"/>
    <xf numFmtId="0" fontId="7" fillId="0" borderId="55" xfId="0" applyFont="1" applyBorder="1" applyAlignment="1">
      <alignment horizontal="right"/>
    </xf>
    <xf numFmtId="0" fontId="0" fillId="0" borderId="55" xfId="0" applyBorder="1" applyAlignment="1">
      <alignment horizontal="left"/>
    </xf>
    <xf numFmtId="0" fontId="0" fillId="0" borderId="56" xfId="0" applyBorder="1"/>
    <xf numFmtId="9" fontId="0" fillId="0" borderId="0" xfId="0" quotePrefix="1" applyNumberFormat="1"/>
    <xf numFmtId="0" fontId="0" fillId="0" borderId="49" xfId="0" applyBorder="1"/>
    <xf numFmtId="14" fontId="3" fillId="0" borderId="0" xfId="0" applyNumberFormat="1" applyFont="1" applyAlignment="1">
      <alignment horizontal="center" vertical="center"/>
    </xf>
    <xf numFmtId="0" fontId="0" fillId="0" borderId="53" xfId="0" applyBorder="1"/>
    <xf numFmtId="9" fontId="0" fillId="0" borderId="0" xfId="0" applyNumberFormat="1"/>
    <xf numFmtId="0" fontId="14" fillId="0" borderId="49" xfId="0" applyFon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4" fillId="0" borderId="49" xfId="0" applyFont="1" applyBorder="1" applyAlignment="1">
      <alignment horizontal="right" vertical="center" indent="1"/>
    </xf>
    <xf numFmtId="0" fontId="44" fillId="0" borderId="52" xfId="0" applyFont="1" applyBorder="1" applyAlignment="1">
      <alignment horizontal="right" vertical="center" indent="1"/>
    </xf>
    <xf numFmtId="9" fontId="0" fillId="0" borderId="0" xfId="0" quotePrefix="1" applyNumberFormat="1" applyAlignment="1">
      <alignment vertical="top"/>
    </xf>
    <xf numFmtId="164" fontId="0" fillId="0" borderId="0" xfId="0" applyNumberFormat="1" applyAlignment="1">
      <alignment vertical="top"/>
    </xf>
    <xf numFmtId="0" fontId="12" fillId="0" borderId="82" xfId="0" applyFont="1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164" fontId="0" fillId="2" borderId="15" xfId="2" applyNumberFormat="1" applyFont="1" applyFill="1" applyBorder="1" applyAlignment="1" applyProtection="1">
      <alignment horizontal="center" vertical="center"/>
    </xf>
    <xf numFmtId="164" fontId="0" fillId="2" borderId="13" xfId="2" applyNumberFormat="1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12" fillId="0" borderId="41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right" vertical="center"/>
    </xf>
    <xf numFmtId="0" fontId="0" fillId="34" borderId="0" xfId="0" applyFill="1" applyAlignment="1">
      <alignment horizontal="left" vertical="center" wrapText="1"/>
    </xf>
    <xf numFmtId="0" fontId="0" fillId="0" borderId="49" xfId="0" applyBorder="1" applyAlignment="1">
      <alignment vertical="top"/>
    </xf>
    <xf numFmtId="164" fontId="44" fillId="0" borderId="6" xfId="0" applyNumberFormat="1" applyFont="1" applyBorder="1" applyAlignment="1">
      <alignment horizontal="center" vertical="top"/>
    </xf>
    <xf numFmtId="164" fontId="44" fillId="0" borderId="74" xfId="0" applyNumberFormat="1" applyFont="1" applyBorder="1" applyAlignment="1">
      <alignment horizontal="center" vertical="top"/>
    </xf>
    <xf numFmtId="164" fontId="44" fillId="0" borderId="44" xfId="0" applyNumberFormat="1" applyFont="1" applyBorder="1" applyAlignment="1">
      <alignment horizontal="center" vertical="top"/>
    </xf>
    <xf numFmtId="0" fontId="0" fillId="0" borderId="53" xfId="0" applyBorder="1" applyAlignment="1">
      <alignment vertical="top"/>
    </xf>
    <xf numFmtId="0" fontId="0" fillId="34" borderId="0" xfId="0" applyFill="1" applyAlignment="1">
      <alignment vertical="top"/>
    </xf>
    <xf numFmtId="0" fontId="0" fillId="0" borderId="1" xfId="0" applyBorder="1" applyAlignment="1">
      <alignment horizontal="right" vertical="center"/>
    </xf>
    <xf numFmtId="168" fontId="0" fillId="2" borderId="1" xfId="1" applyNumberFormat="1" applyFont="1" applyFill="1" applyBorder="1" applyAlignment="1" applyProtection="1">
      <alignment horizontal="center" vertical="center"/>
    </xf>
    <xf numFmtId="168" fontId="0" fillId="2" borderId="11" xfId="1" applyNumberFormat="1" applyFont="1" applyFill="1" applyBorder="1" applyAlignment="1" applyProtection="1">
      <alignment horizontal="center" vertical="center"/>
    </xf>
    <xf numFmtId="0" fontId="12" fillId="0" borderId="35" xfId="0" applyFont="1" applyBorder="1" applyAlignment="1">
      <alignment vertical="center" wrapText="1"/>
    </xf>
    <xf numFmtId="44" fontId="0" fillId="2" borderId="15" xfId="2" applyFont="1" applyFill="1" applyBorder="1" applyAlignment="1" applyProtection="1">
      <alignment horizontal="center" vertical="center"/>
    </xf>
    <xf numFmtId="44" fontId="0" fillId="2" borderId="13" xfId="2" applyFont="1" applyFill="1" applyBorder="1" applyAlignment="1" applyProtection="1">
      <alignment horizontal="center" vertical="center"/>
    </xf>
    <xf numFmtId="0" fontId="7" fillId="0" borderId="49" xfId="0" applyFont="1" applyBorder="1" applyAlignment="1">
      <alignment vertical="top"/>
    </xf>
    <xf numFmtId="0" fontId="0" fillId="34" borderId="0" xfId="0" applyFill="1" applyAlignment="1">
      <alignment vertical="center"/>
    </xf>
    <xf numFmtId="168" fontId="0" fillId="2" borderId="1" xfId="1" applyNumberFormat="1" applyFont="1" applyFill="1" applyBorder="1" applyAlignment="1" applyProtection="1">
      <alignment vertical="center"/>
    </xf>
    <xf numFmtId="168" fontId="0" fillId="2" borderId="11" xfId="1" applyNumberFormat="1" applyFont="1" applyFill="1" applyBorder="1" applyAlignment="1" applyProtection="1">
      <alignment vertical="center"/>
    </xf>
    <xf numFmtId="164" fontId="44" fillId="0" borderId="36" xfId="0" applyNumberFormat="1" applyFont="1" applyBorder="1" applyAlignment="1">
      <alignment horizontal="center" vertical="top"/>
    </xf>
    <xf numFmtId="164" fontId="44" fillId="0" borderId="52" xfId="0" applyNumberFormat="1" applyFont="1" applyBorder="1" applyAlignment="1">
      <alignment horizontal="center" vertical="top"/>
    </xf>
    <xf numFmtId="164" fontId="44" fillId="0" borderId="80" xfId="0" applyNumberFormat="1" applyFont="1" applyBorder="1" applyAlignment="1">
      <alignment horizontal="center" vertical="top"/>
    </xf>
    <xf numFmtId="164" fontId="43" fillId="0" borderId="7" xfId="0" applyNumberFormat="1" applyFont="1" applyBorder="1" applyAlignment="1">
      <alignment horizontal="center" vertical="center"/>
    </xf>
    <xf numFmtId="164" fontId="43" fillId="0" borderId="17" xfId="0" applyNumberFormat="1" applyFont="1" applyBorder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4" fillId="0" borderId="49" xfId="0" applyFont="1" applyBorder="1"/>
    <xf numFmtId="44" fontId="0" fillId="2" borderId="1" xfId="2" applyFont="1" applyFill="1" applyBorder="1" applyAlignment="1" applyProtection="1">
      <alignment horizontal="center" vertical="center"/>
    </xf>
    <xf numFmtId="44" fontId="0" fillId="2" borderId="11" xfId="2" applyFont="1" applyFill="1" applyBorder="1" applyAlignment="1" applyProtection="1">
      <alignment horizontal="center" vertical="center"/>
    </xf>
    <xf numFmtId="166" fontId="0" fillId="0" borderId="0" xfId="0" applyNumberFormat="1" applyAlignment="1">
      <alignment vertical="center" wrapText="1"/>
    </xf>
    <xf numFmtId="0" fontId="2" fillId="0" borderId="15" xfId="0" applyFont="1" applyBorder="1" applyAlignment="1">
      <alignment horizontal="right" vertical="center"/>
    </xf>
    <xf numFmtId="0" fontId="12" fillId="0" borderId="45" xfId="0" applyFont="1" applyBorder="1" applyAlignment="1">
      <alignment horizontal="left" vertical="center" wrapText="1"/>
    </xf>
    <xf numFmtId="0" fontId="21" fillId="0" borderId="25" xfId="0" applyFont="1" applyBorder="1" applyAlignment="1">
      <alignment horizontal="right" vertical="center"/>
    </xf>
    <xf numFmtId="166" fontId="0" fillId="34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44" fontId="8" fillId="2" borderId="15" xfId="2" applyFont="1" applyFill="1" applyBorder="1" applyAlignment="1" applyProtection="1">
      <alignment vertical="center"/>
    </xf>
    <xf numFmtId="0" fontId="0" fillId="0" borderId="0" xfId="0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0" fontId="17" fillId="0" borderId="32" xfId="0" applyFont="1" applyBorder="1"/>
    <xf numFmtId="0" fontId="17" fillId="0" borderId="30" xfId="0" applyFont="1" applyBorder="1" applyAlignment="1">
      <alignment horizontal="right" vertical="center"/>
    </xf>
    <xf numFmtId="0" fontId="17" fillId="0" borderId="37" xfId="0" applyFont="1" applyBorder="1"/>
    <xf numFmtId="0" fontId="0" fillId="0" borderId="0" xfId="0" applyAlignment="1">
      <alignment horizontal="left" vertical="center"/>
    </xf>
    <xf numFmtId="0" fontId="17" fillId="0" borderId="16" xfId="0" applyFont="1" applyBorder="1"/>
    <xf numFmtId="0" fontId="17" fillId="0" borderId="7" xfId="0" applyFont="1" applyBorder="1" applyAlignment="1">
      <alignment horizontal="right" vertical="center"/>
    </xf>
    <xf numFmtId="0" fontId="17" fillId="0" borderId="22" xfId="0" applyFont="1" applyBorder="1"/>
    <xf numFmtId="166" fontId="17" fillId="0" borderId="7" xfId="0" applyNumberFormat="1" applyFont="1" applyBorder="1"/>
    <xf numFmtId="166" fontId="17" fillId="0" borderId="17" xfId="0" applyNumberFormat="1" applyFont="1" applyBorder="1"/>
    <xf numFmtId="0" fontId="17" fillId="0" borderId="0" xfId="0" applyFont="1"/>
    <xf numFmtId="0" fontId="17" fillId="34" borderId="0" xfId="0" applyFont="1" applyFill="1"/>
    <xf numFmtId="0" fontId="17" fillId="0" borderId="38" xfId="0" applyFont="1" applyBorder="1"/>
    <xf numFmtId="0" fontId="17" fillId="0" borderId="14" xfId="0" applyFont="1" applyBorder="1" applyAlignment="1">
      <alignment horizontal="right" vertical="center"/>
    </xf>
    <xf numFmtId="0" fontId="17" fillId="0" borderId="39" xfId="0" quotePrefix="1" applyFont="1" applyBorder="1"/>
    <xf numFmtId="0" fontId="17" fillId="0" borderId="14" xfId="0" applyFont="1" applyBorder="1"/>
    <xf numFmtId="0" fontId="17" fillId="0" borderId="39" xfId="0" applyFont="1" applyBorder="1"/>
    <xf numFmtId="0" fontId="17" fillId="0" borderId="21" xfId="0" applyFont="1" applyBorder="1"/>
    <xf numFmtId="0" fontId="12" fillId="0" borderId="35" xfId="0" applyFont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7" fillId="0" borderId="36" xfId="0" applyFont="1" applyBorder="1"/>
    <xf numFmtId="165" fontId="17" fillId="0" borderId="0" xfId="0" applyNumberFormat="1" applyFont="1" applyAlignment="1">
      <alignment horizontal="left"/>
    </xf>
    <xf numFmtId="0" fontId="12" fillId="9" borderId="8" xfId="0" applyFont="1" applyFill="1" applyBorder="1" applyAlignment="1">
      <alignment vertical="center" wrapText="1"/>
    </xf>
    <xf numFmtId="0" fontId="0" fillId="9" borderId="2" xfId="0" applyFill="1" applyBorder="1" applyAlignment="1">
      <alignment horizontal="right" vertical="center"/>
    </xf>
    <xf numFmtId="0" fontId="0" fillId="9" borderId="2" xfId="0" applyFill="1" applyBorder="1"/>
    <xf numFmtId="0" fontId="13" fillId="9" borderId="9" xfId="0" applyFont="1" applyFill="1" applyBorder="1" applyAlignment="1">
      <alignment horizontal="right"/>
    </xf>
    <xf numFmtId="0" fontId="0" fillId="0" borderId="60" xfId="0" applyBorder="1"/>
    <xf numFmtId="0" fontId="0" fillId="0" borderId="59" xfId="0" applyBorder="1"/>
    <xf numFmtId="0" fontId="0" fillId="0" borderId="1" xfId="0" applyBorder="1" applyAlignment="1">
      <alignment horizontal="right" vertical="center" indent="1"/>
    </xf>
    <xf numFmtId="0" fontId="10" fillId="2" borderId="1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left" vertical="center"/>
    </xf>
    <xf numFmtId="0" fontId="10" fillId="2" borderId="15" xfId="0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left" vertical="center"/>
    </xf>
    <xf numFmtId="0" fontId="0" fillId="0" borderId="10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12" fillId="0" borderId="0" xfId="0" applyFont="1" applyAlignment="1">
      <alignment horizontal="center" vertical="center" wrapText="1"/>
    </xf>
    <xf numFmtId="0" fontId="0" fillId="4" borderId="10" xfId="0" applyFill="1" applyBorder="1" applyAlignment="1">
      <alignment horizontal="right"/>
    </xf>
    <xf numFmtId="9" fontId="0" fillId="4" borderId="1" xfId="1" applyFont="1" applyFill="1" applyBorder="1" applyProtection="1"/>
    <xf numFmtId="0" fontId="0" fillId="4" borderId="1" xfId="0" applyFill="1" applyBorder="1" applyAlignment="1">
      <alignment horizontal="center"/>
    </xf>
    <xf numFmtId="0" fontId="16" fillId="0" borderId="0" xfId="0" applyFont="1"/>
    <xf numFmtId="0" fontId="0" fillId="2" borderId="10" xfId="0" applyFill="1" applyBorder="1" applyAlignment="1">
      <alignment horizontal="right"/>
    </xf>
    <xf numFmtId="9" fontId="0" fillId="2" borderId="1" xfId="1" applyFont="1" applyFill="1" applyBorder="1" applyProtection="1"/>
    <xf numFmtId="44" fontId="0" fillId="2" borderId="1" xfId="2" applyFont="1" applyFill="1" applyBorder="1" applyProtection="1"/>
    <xf numFmtId="0" fontId="0" fillId="2" borderId="12" xfId="0" applyFill="1" applyBorder="1" applyAlignment="1">
      <alignment horizontal="right"/>
    </xf>
    <xf numFmtId="9" fontId="0" fillId="2" borderId="15" xfId="1" applyFont="1" applyFill="1" applyBorder="1" applyProtection="1"/>
    <xf numFmtId="44" fontId="0" fillId="2" borderId="15" xfId="2" applyFont="1" applyFill="1" applyBorder="1" applyProtection="1"/>
    <xf numFmtId="0" fontId="0" fillId="4" borderId="0" xfId="0" applyFill="1"/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0" borderId="84" xfId="0" applyBorder="1" applyAlignment="1">
      <alignment horizontal="righ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0" fontId="0" fillId="2" borderId="84" xfId="1" applyNumberFormat="1" applyFont="1" applyFill="1" applyBorder="1" applyAlignment="1" applyProtection="1">
      <alignment horizontal="center" vertical="center"/>
    </xf>
    <xf numFmtId="10" fontId="0" fillId="2" borderId="83" xfId="1" applyNumberFormat="1" applyFont="1" applyFill="1" applyBorder="1" applyAlignment="1" applyProtection="1">
      <alignment horizontal="center" vertical="center"/>
    </xf>
    <xf numFmtId="9" fontId="0" fillId="2" borderId="2" xfId="1" applyFont="1" applyFill="1" applyBorder="1" applyAlignment="1" applyProtection="1">
      <alignment horizontal="center" vertical="center"/>
    </xf>
    <xf numFmtId="9" fontId="0" fillId="2" borderId="9" xfId="1" applyFont="1" applyFill="1" applyBorder="1" applyAlignment="1" applyProtection="1">
      <alignment horizontal="center" vertical="center"/>
    </xf>
    <xf numFmtId="44" fontId="0" fillId="2" borderId="2" xfId="2" applyFont="1" applyFill="1" applyBorder="1" applyAlignment="1">
      <alignment horizontal="center" vertical="center"/>
    </xf>
    <xf numFmtId="14" fontId="43" fillId="0" borderId="0" xfId="0" applyNumberFormat="1" applyFont="1"/>
    <xf numFmtId="0" fontId="11" fillId="7" borderId="19" xfId="0" applyFont="1" applyFill="1" applyBorder="1" applyAlignment="1">
      <alignment horizontal="center" vertical="center"/>
    </xf>
    <xf numFmtId="0" fontId="11" fillId="35" borderId="19" xfId="0" applyFont="1" applyFill="1" applyBorder="1" applyAlignment="1">
      <alignment horizontal="center" vertical="center"/>
    </xf>
    <xf numFmtId="44" fontId="0" fillId="0" borderId="0" xfId="2" applyFont="1" applyFill="1" applyAlignment="1">
      <alignment horizontal="right"/>
    </xf>
    <xf numFmtId="44" fontId="0" fillId="0" borderId="0" xfId="2" applyFont="1" applyFill="1"/>
    <xf numFmtId="0" fontId="0" fillId="2" borderId="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57" fillId="0" borderId="0" xfId="0" applyFont="1"/>
    <xf numFmtId="0" fontId="9" fillId="0" borderId="41" xfId="0" applyFont="1" applyBorder="1" applyAlignment="1">
      <alignment horizontal="center" vertical="center"/>
    </xf>
    <xf numFmtId="0" fontId="12" fillId="0" borderId="26" xfId="0" applyFont="1" applyBorder="1" applyAlignment="1">
      <alignment vertical="center" wrapText="1"/>
    </xf>
    <xf numFmtId="0" fontId="0" fillId="0" borderId="29" xfId="0" applyBorder="1" applyAlignment="1">
      <alignment horizontal="right" vertical="center"/>
    </xf>
    <xf numFmtId="44" fontId="0" fillId="2" borderId="29" xfId="2" applyFont="1" applyFill="1" applyBorder="1" applyAlignment="1" applyProtection="1">
      <alignment horizontal="center" vertical="center"/>
    </xf>
    <xf numFmtId="44" fontId="0" fillId="2" borderId="27" xfId="2" applyFont="1" applyFill="1" applyBorder="1" applyAlignment="1" applyProtection="1">
      <alignment horizontal="center" vertical="center"/>
    </xf>
    <xf numFmtId="44" fontId="0" fillId="6" borderId="13" xfId="2" applyFont="1" applyFill="1" applyBorder="1" applyAlignment="1" applyProtection="1">
      <alignment vertical="center"/>
    </xf>
    <xf numFmtId="8" fontId="0" fillId="0" borderId="1" xfId="0" applyNumberFormat="1" applyBorder="1"/>
    <xf numFmtId="7" fontId="0" fillId="0" borderId="0" xfId="2" applyNumberFormat="1" applyFont="1"/>
    <xf numFmtId="164" fontId="0" fillId="0" borderId="27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4" fillId="0" borderId="45" xfId="0" applyFont="1" applyBorder="1" applyAlignment="1">
      <alignment horizontal="right" vertical="center" indent="1"/>
    </xf>
    <xf numFmtId="0" fontId="4" fillId="0" borderId="46" xfId="0" applyFont="1" applyBorder="1" applyAlignment="1">
      <alignment horizontal="right" vertical="center" indent="1"/>
    </xf>
    <xf numFmtId="0" fontId="43" fillId="0" borderId="45" xfId="0" applyFont="1" applyBorder="1" applyAlignment="1">
      <alignment horizontal="right" vertical="center" indent="1"/>
    </xf>
    <xf numFmtId="0" fontId="43" fillId="0" borderId="46" xfId="0" applyFont="1" applyBorder="1" applyAlignment="1">
      <alignment horizontal="right" vertical="center" indent="1"/>
    </xf>
    <xf numFmtId="0" fontId="49" fillId="0" borderId="18" xfId="0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0" fontId="48" fillId="2" borderId="42" xfId="0" applyFont="1" applyFill="1" applyBorder="1" applyAlignment="1">
      <alignment horizontal="center" vertical="center" wrapText="1"/>
    </xf>
    <xf numFmtId="0" fontId="48" fillId="2" borderId="23" xfId="0" applyFont="1" applyFill="1" applyBorder="1" applyAlignment="1">
      <alignment horizontal="center" vertical="center" wrapText="1"/>
    </xf>
    <xf numFmtId="0" fontId="48" fillId="2" borderId="19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2" borderId="2" xfId="2" applyNumberFormat="1" applyFont="1" applyFill="1" applyBorder="1" applyAlignment="1" applyProtection="1">
      <alignment horizontal="center" vertical="center"/>
    </xf>
    <xf numFmtId="44" fontId="8" fillId="2" borderId="2" xfId="2" applyFont="1" applyFill="1" applyBorder="1" applyAlignment="1" applyProtection="1">
      <alignment horizontal="center" vertical="center"/>
    </xf>
    <xf numFmtId="44" fontId="8" fillId="2" borderId="9" xfId="2" applyFont="1" applyFill="1" applyBorder="1" applyAlignment="1" applyProtection="1">
      <alignment horizontal="center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wrapText="1"/>
    </xf>
    <xf numFmtId="7" fontId="8" fillId="2" borderId="2" xfId="2" applyNumberFormat="1" applyFont="1" applyFill="1" applyBorder="1" applyAlignment="1" applyProtection="1">
      <alignment horizontal="center" vertical="center"/>
    </xf>
    <xf numFmtId="7" fontId="8" fillId="2" borderId="9" xfId="2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 textRotation="90" wrapText="1"/>
    </xf>
    <xf numFmtId="0" fontId="0" fillId="0" borderId="49" xfId="0" applyBorder="1" applyAlignment="1">
      <alignment horizontal="left" vertical="center" textRotation="90" wrapText="1"/>
    </xf>
    <xf numFmtId="164" fontId="43" fillId="8" borderId="1" xfId="0" applyNumberFormat="1" applyFont="1" applyFill="1" applyBorder="1" applyAlignment="1">
      <alignment horizontal="center" vertical="center"/>
    </xf>
    <xf numFmtId="164" fontId="43" fillId="8" borderId="11" xfId="0" applyNumberFormat="1" applyFont="1" applyFill="1" applyBorder="1" applyAlignment="1">
      <alignment horizontal="center" vertical="center"/>
    </xf>
    <xf numFmtId="164" fontId="43" fillId="0" borderId="22" xfId="0" applyNumberFormat="1" applyFont="1" applyBorder="1" applyAlignment="1">
      <alignment horizontal="center" vertical="center"/>
    </xf>
    <xf numFmtId="164" fontId="43" fillId="0" borderId="7" xfId="0" applyNumberFormat="1" applyFont="1" applyBorder="1" applyAlignment="1">
      <alignment horizontal="center" vertical="center"/>
    </xf>
    <xf numFmtId="164" fontId="43" fillId="0" borderId="25" xfId="0" applyNumberFormat="1" applyFont="1" applyBorder="1" applyAlignment="1">
      <alignment horizontal="center" vertical="center"/>
    </xf>
    <xf numFmtId="164" fontId="43" fillId="0" borderId="17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0" fontId="55" fillId="7" borderId="33" xfId="0" applyFont="1" applyFill="1" applyBorder="1" applyAlignment="1">
      <alignment horizontal="right" vertical="center"/>
    </xf>
    <xf numFmtId="0" fontId="55" fillId="7" borderId="28" xfId="0" applyFont="1" applyFill="1" applyBorder="1" applyAlignment="1">
      <alignment horizontal="right" vertical="center"/>
    </xf>
    <xf numFmtId="0" fontId="55" fillId="7" borderId="60" xfId="0" applyFont="1" applyFill="1" applyBorder="1" applyAlignment="1">
      <alignment horizontal="right" vertical="center"/>
    </xf>
    <xf numFmtId="0" fontId="55" fillId="7" borderId="52" xfId="0" applyFont="1" applyFill="1" applyBorder="1" applyAlignment="1">
      <alignment horizontal="right" vertical="center"/>
    </xf>
    <xf numFmtId="0" fontId="43" fillId="0" borderId="10" xfId="0" applyFont="1" applyBorder="1" applyAlignment="1">
      <alignment horizontal="right" vertical="center" indent="1"/>
    </xf>
    <xf numFmtId="0" fontId="43" fillId="0" borderId="1" xfId="0" applyFont="1" applyBorder="1" applyAlignment="1">
      <alignment horizontal="right" vertical="center" indent="1"/>
    </xf>
    <xf numFmtId="164" fontId="43" fillId="0" borderId="29" xfId="0" applyNumberFormat="1" applyFont="1" applyBorder="1" applyAlignment="1">
      <alignment horizontal="center" vertical="center"/>
    </xf>
    <xf numFmtId="164" fontId="43" fillId="0" borderId="79" xfId="0" applyNumberFormat="1" applyFont="1" applyBorder="1" applyAlignment="1">
      <alignment horizontal="center" vertical="center"/>
    </xf>
    <xf numFmtId="164" fontId="43" fillId="0" borderId="78" xfId="0" applyNumberFormat="1" applyFont="1" applyBorder="1" applyAlignment="1">
      <alignment horizontal="center" vertical="center"/>
    </xf>
    <xf numFmtId="164" fontId="43" fillId="0" borderId="75" xfId="0" applyNumberFormat="1" applyFont="1" applyBorder="1" applyAlignment="1">
      <alignment horizontal="center" vertical="center"/>
    </xf>
    <xf numFmtId="0" fontId="47" fillId="0" borderId="48" xfId="0" applyFont="1" applyBorder="1" applyAlignment="1">
      <alignment horizontal="right" vertical="center" wrapText="1" indent="1"/>
    </xf>
    <xf numFmtId="0" fontId="47" fillId="0" borderId="6" xfId="0" applyFont="1" applyBorder="1" applyAlignment="1">
      <alignment horizontal="right" vertical="center" wrapText="1" indent="1"/>
    </xf>
    <xf numFmtId="166" fontId="0" fillId="0" borderId="16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167" fontId="15" fillId="0" borderId="46" xfId="0" applyNumberFormat="1" applyFont="1" applyBorder="1" applyAlignment="1">
      <alignment horizontal="center"/>
    </xf>
    <xf numFmtId="167" fontId="15" fillId="0" borderId="47" xfId="0" applyNumberFormat="1" applyFont="1" applyBorder="1" applyAlignment="1">
      <alignment horizontal="center"/>
    </xf>
    <xf numFmtId="10" fontId="17" fillId="0" borderId="50" xfId="0" applyNumberFormat="1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7" fontId="8" fillId="2" borderId="37" xfId="2" applyNumberFormat="1" applyFont="1" applyFill="1" applyBorder="1" applyAlignment="1" applyProtection="1">
      <alignment horizontal="center" vertical="center"/>
    </xf>
    <xf numFmtId="7" fontId="8" fillId="2" borderId="86" xfId="2" applyNumberFormat="1" applyFont="1" applyFill="1" applyBorder="1" applyAlignment="1" applyProtection="1">
      <alignment horizontal="center" vertical="center"/>
    </xf>
    <xf numFmtId="7" fontId="8" fillId="2" borderId="20" xfId="2" applyNumberFormat="1" applyFont="1" applyFill="1" applyBorder="1" applyAlignment="1" applyProtection="1">
      <alignment horizontal="center" vertic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54" xfId="0" applyFont="1" applyBorder="1" applyAlignment="1">
      <alignment horizontal="center" vertical="center" wrapText="1"/>
    </xf>
    <xf numFmtId="0" fontId="5" fillId="0" borderId="55" xfId="0" applyFont="1" applyBorder="1" applyAlignment="1">
      <alignment horizontal="center" vertical="center" wrapText="1"/>
    </xf>
    <xf numFmtId="0" fontId="5" fillId="0" borderId="56" xfId="0" applyFont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3" xfId="0" applyFont="1" applyBorder="1" applyAlignment="1">
      <alignment horizontal="center" vertical="center" wrapText="1"/>
    </xf>
    <xf numFmtId="164" fontId="0" fillId="6" borderId="1" xfId="0" applyNumberForma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2" borderId="11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43" fillId="0" borderId="76" xfId="0" applyNumberFormat="1" applyFont="1" applyBorder="1" applyAlignment="1">
      <alignment horizontal="center" vertical="center"/>
    </xf>
    <xf numFmtId="164" fontId="43" fillId="0" borderId="46" xfId="0" applyNumberFormat="1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51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164" fontId="43" fillId="0" borderId="37" xfId="0" applyNumberFormat="1" applyFont="1" applyBorder="1" applyAlignment="1">
      <alignment horizontal="center" vertical="center"/>
    </xf>
    <xf numFmtId="164" fontId="43" fillId="0" borderId="20" xfId="0" applyNumberFormat="1" applyFont="1" applyBorder="1" applyAlignment="1">
      <alignment horizontal="center" vertical="center"/>
    </xf>
    <xf numFmtId="166" fontId="50" fillId="0" borderId="70" xfId="0" applyNumberFormat="1" applyFont="1" applyBorder="1" applyAlignment="1">
      <alignment horizontal="center" vertical="center"/>
    </xf>
    <xf numFmtId="166" fontId="50" fillId="0" borderId="72" xfId="0" applyNumberFormat="1" applyFont="1" applyBorder="1" applyAlignment="1">
      <alignment horizontal="center" vertical="center"/>
    </xf>
    <xf numFmtId="166" fontId="50" fillId="0" borderId="43" xfId="0" applyNumberFormat="1" applyFont="1" applyBorder="1" applyAlignment="1">
      <alignment horizontal="center" vertical="center"/>
    </xf>
    <xf numFmtId="166" fontId="50" fillId="0" borderId="44" xfId="0" applyNumberFormat="1" applyFont="1" applyBorder="1" applyAlignment="1">
      <alignment horizontal="center" vertical="center"/>
    </xf>
    <xf numFmtId="166" fontId="0" fillId="0" borderId="43" xfId="0" applyNumberFormat="1" applyBorder="1" applyAlignment="1">
      <alignment horizontal="center" vertical="center"/>
    </xf>
    <xf numFmtId="166" fontId="0" fillId="0" borderId="44" xfId="0" applyNumberFormat="1" applyBorder="1" applyAlignment="1">
      <alignment horizontal="center" vertical="center"/>
    </xf>
    <xf numFmtId="164" fontId="43" fillId="0" borderId="30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3" fillId="0" borderId="24" xfId="0" applyFont="1" applyBorder="1" applyAlignment="1">
      <alignment horizontal="right" vertical="center" indent="1"/>
    </xf>
    <xf numFmtId="0" fontId="43" fillId="0" borderId="25" xfId="0" applyFont="1" applyBorder="1" applyAlignment="1">
      <alignment horizontal="right" vertical="center" indent="1"/>
    </xf>
    <xf numFmtId="0" fontId="46" fillId="8" borderId="10" xfId="0" applyFont="1" applyFill="1" applyBorder="1" applyAlignment="1">
      <alignment horizontal="right" vertical="center" indent="1"/>
    </xf>
    <xf numFmtId="0" fontId="46" fillId="8" borderId="1" xfId="0" applyFont="1" applyFill="1" applyBorder="1" applyAlignment="1">
      <alignment horizontal="right" vertical="center" indent="1"/>
    </xf>
    <xf numFmtId="0" fontId="17" fillId="0" borderId="73" xfId="0" applyFont="1" applyBorder="1" applyAlignment="1">
      <alignment horizontal="right" vertical="top"/>
    </xf>
    <xf numFmtId="0" fontId="17" fillId="0" borderId="74" xfId="0" applyFont="1" applyBorder="1" applyAlignment="1">
      <alignment horizontal="right" vertical="top"/>
    </xf>
    <xf numFmtId="0" fontId="44" fillId="0" borderId="57" xfId="0" applyFont="1" applyBorder="1" applyAlignment="1">
      <alignment horizontal="right" vertical="center" indent="1"/>
    </xf>
    <xf numFmtId="0" fontId="44" fillId="0" borderId="58" xfId="0" applyFont="1" applyBorder="1" applyAlignment="1">
      <alignment horizontal="right" vertical="center" indent="1"/>
    </xf>
    <xf numFmtId="0" fontId="44" fillId="0" borderId="32" xfId="0" applyFont="1" applyBorder="1" applyAlignment="1">
      <alignment horizontal="right" vertical="top" wrapText="1" indent="1"/>
    </xf>
    <xf numFmtId="0" fontId="44" fillId="0" borderId="30" xfId="0" applyFont="1" applyBorder="1" applyAlignment="1">
      <alignment horizontal="right" vertical="top" wrapText="1" indent="1"/>
    </xf>
    <xf numFmtId="0" fontId="17" fillId="0" borderId="48" xfId="0" applyFont="1" applyBorder="1" applyAlignment="1">
      <alignment horizontal="right" vertical="top"/>
    </xf>
    <xf numFmtId="0" fontId="17" fillId="0" borderId="6" xfId="0" applyFont="1" applyBorder="1" applyAlignment="1">
      <alignment horizontal="right" vertical="top"/>
    </xf>
    <xf numFmtId="0" fontId="43" fillId="0" borderId="26" xfId="0" applyFont="1" applyBorder="1" applyAlignment="1">
      <alignment horizontal="right" vertical="center" indent="1"/>
    </xf>
    <xf numFmtId="0" fontId="43" fillId="0" borderId="29" xfId="0" applyFont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 wrapText="1"/>
    </xf>
    <xf numFmtId="165" fontId="0" fillId="2" borderId="22" xfId="0" applyNumberFormat="1" applyFill="1" applyBorder="1" applyAlignment="1">
      <alignment horizontal="center" vertical="center"/>
    </xf>
    <xf numFmtId="165" fontId="0" fillId="2" borderId="87" xfId="0" applyNumberFormat="1" applyFill="1" applyBorder="1" applyAlignment="1">
      <alignment horizontal="center" vertical="center"/>
    </xf>
    <xf numFmtId="165" fontId="0" fillId="2" borderId="17" xfId="0" applyNumberFormat="1" applyFill="1" applyBorder="1" applyAlignment="1">
      <alignment horizontal="center" vertical="center"/>
    </xf>
    <xf numFmtId="0" fontId="0" fillId="6" borderId="22" xfId="0" applyFill="1" applyBorder="1" applyAlignment="1">
      <alignment horizontal="right" vertical="center"/>
    </xf>
    <xf numFmtId="0" fontId="0" fillId="6" borderId="7" xfId="0" applyFill="1" applyBorder="1" applyAlignment="1">
      <alignment horizontal="right" vertical="center"/>
    </xf>
    <xf numFmtId="0" fontId="0" fillId="6" borderId="39" xfId="0" applyFill="1" applyBorder="1" applyAlignment="1">
      <alignment horizontal="right" vertical="center"/>
    </xf>
    <xf numFmtId="0" fontId="0" fillId="6" borderId="14" xfId="0" applyFill="1" applyBorder="1" applyAlignment="1">
      <alignment horizontal="right" vertical="center"/>
    </xf>
    <xf numFmtId="7" fontId="8" fillId="2" borderId="39" xfId="2" applyNumberFormat="1" applyFont="1" applyFill="1" applyBorder="1" applyAlignment="1" applyProtection="1">
      <alignment horizontal="center" vertical="center"/>
    </xf>
    <xf numFmtId="7" fontId="8" fillId="2" borderId="51" xfId="2" applyNumberFormat="1" applyFont="1" applyFill="1" applyBorder="1" applyAlignment="1" applyProtection="1">
      <alignment horizontal="center" vertical="center"/>
    </xf>
    <xf numFmtId="7" fontId="8" fillId="2" borderId="21" xfId="2" applyNumberFormat="1" applyFont="1" applyFill="1" applyBorder="1" applyAlignment="1" applyProtection="1">
      <alignment horizontal="center" vertical="center"/>
    </xf>
    <xf numFmtId="5" fontId="61" fillId="0" borderId="49" xfId="2" applyNumberFormat="1" applyFont="1" applyBorder="1" applyAlignment="1" applyProtection="1">
      <alignment horizontal="center" shrinkToFit="1"/>
    </xf>
    <xf numFmtId="5" fontId="61" fillId="0" borderId="0" xfId="2" applyNumberFormat="1" applyFont="1" applyBorder="1" applyAlignment="1" applyProtection="1">
      <alignment horizontal="center" shrinkToFit="1"/>
    </xf>
    <xf numFmtId="5" fontId="61" fillId="0" borderId="53" xfId="2" applyNumberFormat="1" applyFont="1" applyBorder="1" applyAlignment="1" applyProtection="1">
      <alignment horizontal="center" shrinkToFit="1"/>
    </xf>
    <xf numFmtId="5" fontId="61" fillId="0" borderId="60" xfId="2" applyNumberFormat="1" applyFont="1" applyBorder="1" applyAlignment="1" applyProtection="1">
      <alignment horizontal="center" shrinkToFit="1"/>
    </xf>
    <xf numFmtId="5" fontId="61" fillId="0" borderId="40" xfId="2" applyNumberFormat="1" applyFont="1" applyBorder="1" applyAlignment="1" applyProtection="1">
      <alignment horizontal="center" shrinkToFit="1"/>
    </xf>
    <xf numFmtId="5" fontId="61" fillId="0" borderId="59" xfId="2" applyNumberFormat="1" applyFont="1" applyBorder="1" applyAlignment="1" applyProtection="1">
      <alignment horizontal="center" shrinkToFit="1"/>
    </xf>
    <xf numFmtId="0" fontId="60" fillId="37" borderId="54" xfId="0" applyFont="1" applyFill="1" applyBorder="1" applyAlignment="1">
      <alignment horizontal="center"/>
    </xf>
    <xf numFmtId="0" fontId="60" fillId="37" borderId="55" xfId="0" applyFont="1" applyFill="1" applyBorder="1" applyAlignment="1">
      <alignment horizontal="center"/>
    </xf>
    <xf numFmtId="0" fontId="60" fillId="37" borderId="56" xfId="0" applyFont="1" applyFill="1" applyBorder="1" applyAlignment="1">
      <alignment horizontal="center"/>
    </xf>
    <xf numFmtId="0" fontId="60" fillId="37" borderId="49" xfId="0" applyFont="1" applyFill="1" applyBorder="1" applyAlignment="1">
      <alignment horizontal="center"/>
    </xf>
    <xf numFmtId="0" fontId="60" fillId="37" borderId="0" xfId="0" applyFont="1" applyFill="1" applyAlignment="1">
      <alignment horizontal="center"/>
    </xf>
    <xf numFmtId="0" fontId="60" fillId="37" borderId="53" xfId="0" applyFont="1" applyFill="1" applyBorder="1" applyAlignment="1">
      <alignment horizontal="center"/>
    </xf>
    <xf numFmtId="0" fontId="57" fillId="0" borderId="49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58" fillId="0" borderId="49" xfId="0" applyFont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53" xfId="0" applyFont="1" applyBorder="1" applyAlignment="1">
      <alignment horizontal="center"/>
    </xf>
    <xf numFmtId="164" fontId="59" fillId="6" borderId="0" xfId="123" applyNumberFormat="1" applyFont="1" applyFill="1" applyBorder="1" applyAlignment="1" applyProtection="1">
      <alignment horizontal="center"/>
    </xf>
    <xf numFmtId="164" fontId="59" fillId="6" borderId="53" xfId="123" applyNumberFormat="1" applyFont="1" applyFill="1" applyBorder="1" applyAlignment="1" applyProtection="1">
      <alignment horizontal="center"/>
    </xf>
    <xf numFmtId="0" fontId="0" fillId="0" borderId="17" xfId="0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33" borderId="54" xfId="0" applyFill="1" applyBorder="1" applyAlignment="1">
      <alignment horizontal="center" vertical="center"/>
    </xf>
    <xf numFmtId="0" fontId="0" fillId="33" borderId="55" xfId="0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49" xfId="0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53" xfId="0" applyFill="1" applyBorder="1" applyAlignment="1">
      <alignment horizontal="center" vertical="center"/>
    </xf>
    <xf numFmtId="0" fontId="45" fillId="0" borderId="22" xfId="0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0" fontId="45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64" fontId="54" fillId="7" borderId="70" xfId="0" applyNumberFormat="1" applyFont="1" applyFill="1" applyBorder="1" applyAlignment="1">
      <alignment horizontal="center" vertical="center"/>
    </xf>
    <xf numFmtId="164" fontId="54" fillId="7" borderId="72" xfId="0" applyNumberFormat="1" applyFont="1" applyFill="1" applyBorder="1" applyAlignment="1">
      <alignment horizontal="center" vertical="center"/>
    </xf>
    <xf numFmtId="164" fontId="54" fillId="7" borderId="50" xfId="0" applyNumberFormat="1" applyFont="1" applyFill="1" applyBorder="1" applyAlignment="1">
      <alignment horizontal="center" vertical="center"/>
    </xf>
    <xf numFmtId="164" fontId="54" fillId="7" borderId="59" xfId="0" applyNumberFormat="1" applyFont="1" applyFill="1" applyBorder="1" applyAlignment="1">
      <alignment horizontal="center" vertical="center"/>
    </xf>
  </cellXfs>
  <cellStyles count="124">
    <cellStyle name="20% - Accent1 2" xfId="7" xr:uid="{6C29C0AB-B9D4-4F28-87CA-EDF012BD450D}"/>
    <cellStyle name="20% - Accent1 2 2" xfId="76" xr:uid="{CF6B6D4C-8715-4CF2-92D9-92B4DB7A465B}"/>
    <cellStyle name="20% - Accent2 2" xfId="8" xr:uid="{7E97C421-F9A7-413C-9BFF-6C241A47B05E}"/>
    <cellStyle name="20% - Accent2 2 2" xfId="77" xr:uid="{22793DEC-06CB-4518-9569-6F4060073917}"/>
    <cellStyle name="20% - Accent3 2" xfId="9" xr:uid="{A1AD67ED-10C3-4B81-8573-AE20AB778231}"/>
    <cellStyle name="20% - Accent3 2 2" xfId="78" xr:uid="{3D8ED288-4AAD-4741-BAF6-46C307F03EA9}"/>
    <cellStyle name="20% - Accent4 2" xfId="10" xr:uid="{565941FE-0B78-42EC-AAF3-7E72AB6867B0}"/>
    <cellStyle name="20% - Accent4 2 2" xfId="79" xr:uid="{4F9363DF-EFBA-4835-B95C-92D58A1C1EAC}"/>
    <cellStyle name="20% - Accent5 2" xfId="11" xr:uid="{CB6288D9-6243-4F0B-AFE5-7FCC4240BF36}"/>
    <cellStyle name="20% - Accent5 2 2" xfId="80" xr:uid="{EC3CE476-4E4E-42CE-9443-DB8D753E2AFE}"/>
    <cellStyle name="20% - Accent6 2" xfId="12" xr:uid="{92717555-9A7B-4CF2-A3DD-FF21561DA11A}"/>
    <cellStyle name="20% - Accent6 2 2" xfId="82" xr:uid="{EA23D3B8-CC26-48B4-B564-28343C48D382}"/>
    <cellStyle name="20% - Accent6 2 3" xfId="81" xr:uid="{B5558AAE-576D-4E7A-A673-8DC6FFD9C96D}"/>
    <cellStyle name="40% - Accent1 2" xfId="13" xr:uid="{5B933361-B2FE-4453-9C83-65E744482AF1}"/>
    <cellStyle name="40% - Accent1 2 2" xfId="83" xr:uid="{D1DCC339-9F89-431A-B9A3-28E01163E318}"/>
    <cellStyle name="40% - Accent2 2" xfId="14" xr:uid="{9C5C49C4-C36B-4AED-B2F8-F52BD2D58F14}"/>
    <cellStyle name="40% - Accent2 2 2" xfId="84" xr:uid="{9DF67E8F-02A0-4545-8D55-629FFA38ACCB}"/>
    <cellStyle name="40% - Accent3 2" xfId="15" xr:uid="{64E49256-63B8-4B9B-8C55-B17C4E2717C0}"/>
    <cellStyle name="40% - Accent3 2 2" xfId="85" xr:uid="{67C3D269-8F5B-4F91-A92E-AD2C79F13B6E}"/>
    <cellStyle name="40% - Accent4 2" xfId="16" xr:uid="{7D3567F2-04D2-45C0-8752-FE493EA4E84A}"/>
    <cellStyle name="40% - Accent4 2 2" xfId="86" xr:uid="{C62D565F-9038-471A-9D66-19BA84C149B0}"/>
    <cellStyle name="40% - Accent5 2" xfId="17" xr:uid="{E7401E7C-C868-4482-B919-107AD2CBF494}"/>
    <cellStyle name="40% - Accent5 2 2" xfId="87" xr:uid="{477D55DE-973C-491E-A078-EDD5BC9AAD6A}"/>
    <cellStyle name="40% - Accent6 2" xfId="18" xr:uid="{B5D8FD4D-6C9C-4EDD-910F-0F0C17B12DF9}"/>
    <cellStyle name="40% - Accent6 2 2" xfId="88" xr:uid="{51097B99-2164-4BAD-9E1A-DB90710D9866}"/>
    <cellStyle name="60% - Accent1 2" xfId="19" xr:uid="{98B34114-A9D4-4DD9-A8F2-F31CBE61BA6F}"/>
    <cellStyle name="60% - Accent2 2" xfId="20" xr:uid="{F98AE293-7143-4C85-9304-E61D3179B171}"/>
    <cellStyle name="60% - Accent3 2" xfId="21" xr:uid="{28024D40-7A1C-4B54-BFF4-AC2D666EF82F}"/>
    <cellStyle name="60% - Accent4 2" xfId="22" xr:uid="{87CF0E18-9E07-40AF-BF06-BFAA39AA7C73}"/>
    <cellStyle name="60% - Accent5 2" xfId="23" xr:uid="{F223A446-4109-454B-9DCF-DB0C3018D86E}"/>
    <cellStyle name="60% - Accent6 2" xfId="24" xr:uid="{9D0EC687-2CE4-4C20-B39F-685671C8AF58}"/>
    <cellStyle name="Accent1 2" xfId="25" xr:uid="{E7DE79CA-34D7-4044-B34F-4C749FFEBD79}"/>
    <cellStyle name="Accent2 2" xfId="26" xr:uid="{9B32876E-A107-44FA-B7D0-2196CF9756EB}"/>
    <cellStyle name="Accent3 2" xfId="27" xr:uid="{BD48BEC6-6663-4E4A-B3FE-4FED0E436C31}"/>
    <cellStyle name="Accent4 2" xfId="28" xr:uid="{12481A04-36CD-4FFE-BC49-7067BEBFB372}"/>
    <cellStyle name="Accent5 2" xfId="29" xr:uid="{BDE54867-8AE4-455D-A99B-5B02B4E1EECA}"/>
    <cellStyle name="Accent6 2" xfId="30" xr:uid="{A08B332B-E20E-4932-897C-9A702474ECCC}"/>
    <cellStyle name="Bad 2" xfId="31" xr:uid="{3BF9C51C-2A6E-40A0-AD07-0F879D9E984A}"/>
    <cellStyle name="Calculation 2" xfId="32" xr:uid="{9F264534-F72D-4C03-A741-F17B6BE0890B}"/>
    <cellStyle name="Calculation 2 2" xfId="64" xr:uid="{36E2A3B8-7E31-449F-B873-A7A3BE03F0C5}"/>
    <cellStyle name="Check Cell 2" xfId="33" xr:uid="{7B5A4B1E-C74E-4DA4-AB3C-3FA2EC7AB9B1}"/>
    <cellStyle name="Comma 2" xfId="89" xr:uid="{3D80F154-DA3C-4467-97CD-9E87FB6E5D0E}"/>
    <cellStyle name="Comma 2 2" xfId="90" xr:uid="{B7DDF483-3CD4-4A16-A838-7B5D2CA0EF6A}"/>
    <cellStyle name="Comma 2 2 2" xfId="91" xr:uid="{4448ADFC-FD05-4A87-AC88-EA9839BAE2D0}"/>
    <cellStyle name="Comma 2 2 2 2" xfId="92" xr:uid="{3801FEAC-80AE-4DA7-BB69-40D13BF77771}"/>
    <cellStyle name="Currency" xfId="2" builtinId="4"/>
    <cellStyle name="Currency [0] 2" xfId="122" xr:uid="{487279BC-8CA8-4DD5-81AB-CEFCAD6D22D5}"/>
    <cellStyle name="Currency 2" xfId="4" xr:uid="{106DD193-A4BB-445D-9384-D3ACBB281577}"/>
    <cellStyle name="Currency 2 2" xfId="34" xr:uid="{4D32280F-3AC1-4559-AA96-9AA966D1E667}"/>
    <cellStyle name="Currency 2 3" xfId="60" xr:uid="{C7EF8A01-63DE-4C0C-8096-2070A9E89E7A}"/>
    <cellStyle name="Currency 3" xfId="5" xr:uid="{3AB9B256-0A0B-40A7-841F-FAE3A365A453}"/>
    <cellStyle name="Currency 3 2" xfId="59" xr:uid="{00BBA089-6C36-4AD2-A170-298958321893}"/>
    <cellStyle name="Currency 3 3" xfId="58" xr:uid="{16AC9B86-300E-46A1-B852-6F67B605F0C7}"/>
    <cellStyle name="Currency 3 4" xfId="93" xr:uid="{A64AE2E9-B823-4CEF-9531-DD7665CDE4AF}"/>
    <cellStyle name="Currency 4" xfId="75" xr:uid="{A4EF8783-09D6-4C7A-BBF9-CDDA49DA76DB}"/>
    <cellStyle name="Currency 4 2" xfId="95" xr:uid="{7424E0DC-A0E4-4D44-8856-0497442D7FAA}"/>
    <cellStyle name="Currency 4 3" xfId="94" xr:uid="{82FC8E28-3308-458C-BD6C-1B73E78039C5}"/>
    <cellStyle name="Currency 5" xfId="3" xr:uid="{487C7F2A-64E8-46A2-8E7F-34F04D1A3157}"/>
    <cellStyle name="Currency 6" xfId="35" xr:uid="{42788D8B-9CCC-4BB9-B0DD-A0AF7DB348B5}"/>
    <cellStyle name="Currency 6 2" xfId="96" xr:uid="{1923C368-D664-406F-B8DF-646297CC3BEF}"/>
    <cellStyle name="Explanatory Text 2" xfId="36" xr:uid="{660B05DD-A152-4DA8-AB85-1A90A641593E}"/>
    <cellStyle name="Good 2" xfId="37" xr:uid="{B505C2EB-20F9-428F-9C66-BFF901F843B9}"/>
    <cellStyle name="Heading 1 2" xfId="38" xr:uid="{A7905F65-48BF-4079-85DE-67A2B5AFA3E4}"/>
    <cellStyle name="Heading 2 2" xfId="39" xr:uid="{E5273657-4DFF-4F13-8674-45CF6D1498A1}"/>
    <cellStyle name="Heading 3 2" xfId="40" xr:uid="{0E6FE803-2BC1-4889-9A64-BF6D3A81DDB0}"/>
    <cellStyle name="Heading 4 2" xfId="41" xr:uid="{1A0AD677-67B3-428B-89F2-B2ECB2BEBD26}"/>
    <cellStyle name="Input" xfId="123" builtinId="20"/>
    <cellStyle name="Input 2" xfId="42" xr:uid="{56E8FABD-FBE3-4965-85E3-36C17E1DCC26}"/>
    <cellStyle name="Input 2 2" xfId="65" xr:uid="{BC739811-8548-46E4-BC5D-0A0CC4EDBA51}"/>
    <cellStyle name="Input 2 3" xfId="97" xr:uid="{A5C314CB-04BA-4344-9546-C92FCAF3DC38}"/>
    <cellStyle name="Linked Cell 2" xfId="43" xr:uid="{C1F7A893-802C-46F3-A699-807E2356641D}"/>
    <cellStyle name="Neutral 2" xfId="44" xr:uid="{BF4142B1-B92A-4CED-9179-D8B584952AAD}"/>
    <cellStyle name="Normal" xfId="0" builtinId="0"/>
    <cellStyle name="Normal 2" xfId="6" xr:uid="{6A0BCCD3-6F1E-49EC-880C-C61FCEADB1D6}"/>
    <cellStyle name="Normal 2 2" xfId="57" xr:uid="{5E1A3105-CCA9-4206-B1F5-0C86D4F039E6}"/>
    <cellStyle name="Normal 3" xfId="63" xr:uid="{1EBC4AC2-67B2-4CB9-BBB0-37498774A0D6}"/>
    <cellStyle name="Normal 3 2" xfId="99" xr:uid="{4FDA6AF6-A386-4375-9BA7-058FF821B34B}"/>
    <cellStyle name="Normal 3 3" xfId="100" xr:uid="{FE3ED2CF-E928-47BB-919D-F9992E284F1F}"/>
    <cellStyle name="Normal 3 3 2" xfId="101" xr:uid="{20219702-2D1A-4DAE-BBDB-2761723A3D51}"/>
    <cellStyle name="Normal 3 3 2 2" xfId="102" xr:uid="{EB384007-71DD-4B4A-8AD2-1E273E46D419}"/>
    <cellStyle name="Normal 3 4" xfId="98" xr:uid="{9CBE3B83-0A12-49B4-9431-0CE5B28A2D25}"/>
    <cellStyle name="Normal 4" xfId="45" xr:uid="{7509F9A7-D4EA-427E-850A-BD136995BE79}"/>
    <cellStyle name="Normal 4 2" xfId="103" xr:uid="{429995FC-5171-43E0-AAEB-8A80950F0365}"/>
    <cellStyle name="Normal 5" xfId="104" xr:uid="{592E3621-09B9-4DFD-B628-E515C311DA3B}"/>
    <cellStyle name="Normal 5 2" xfId="105" xr:uid="{DD9526E3-D891-47A5-9BCC-ADF683208CFC}"/>
    <cellStyle name="Normal 5 3" xfId="106" xr:uid="{2221847D-7B55-4915-944F-463912632530}"/>
    <cellStyle name="Normal 5 4" xfId="107" xr:uid="{A6841821-5A75-4FCB-8978-7715CB285F4F}"/>
    <cellStyle name="Normal 5 4 2" xfId="108" xr:uid="{4BBB54C0-EDAD-48DE-B024-848FB1A7CB8A}"/>
    <cellStyle name="Normal 8" xfId="109" xr:uid="{E18C4395-38A5-4115-833D-B338DF1FF29E}"/>
    <cellStyle name="Note 2" xfId="47" xr:uid="{53CD074D-4259-47B4-B7B9-384D2F27AD25}"/>
    <cellStyle name="Note 2 2" xfId="48" xr:uid="{60D622A3-4EC9-47C2-8CA8-A648B08C7524}"/>
    <cellStyle name="Note 2 2 2" xfId="68" xr:uid="{2401CF95-2444-4AB8-9A9F-C5615872D337}"/>
    <cellStyle name="Note 2 3" xfId="67" xr:uid="{E9955DCB-66F3-4B1E-B6B6-E4E90F8E727F}"/>
    <cellStyle name="Note 3" xfId="49" xr:uid="{5D1A045A-81FA-4AF1-BE63-BA27217476CD}"/>
    <cellStyle name="Note 3 2" xfId="69" xr:uid="{5C31B28A-D3EE-4AA2-B3C1-6BDA4FB25778}"/>
    <cellStyle name="Note 4" xfId="50" xr:uid="{AB1A3808-7587-4125-86DD-88C9DFB4273C}"/>
    <cellStyle name="Note 4 2" xfId="70" xr:uid="{2D318C25-41D4-4DE1-9B67-FE875A71D535}"/>
    <cellStyle name="Note 5" xfId="51" xr:uid="{C20DDA20-792F-442D-89DE-FCF00D71BA7A}"/>
    <cellStyle name="Note 5 2" xfId="52" xr:uid="{4E7AEAF3-A23B-4FC9-9736-6ABC70664C0F}"/>
    <cellStyle name="Note 5 2 2" xfId="72" xr:uid="{1984925E-717E-45D1-B3AB-E9E8FCDC6EF4}"/>
    <cellStyle name="Note 5 3" xfId="71" xr:uid="{ACFF0554-E03E-498E-A265-95D774BED81D}"/>
    <cellStyle name="Note 5 3 2" xfId="110" xr:uid="{4A2A5F0B-324D-4ECD-9BF6-15ACCCF3A9D0}"/>
    <cellStyle name="Note 5 3 3" xfId="111" xr:uid="{95419A6B-337B-44A0-A8B3-B59916378CF3}"/>
    <cellStyle name="Note 5 3 3 2" xfId="112" xr:uid="{7B1FE82F-6C77-40CD-BD99-8D09E5668BF6}"/>
    <cellStyle name="Note 6" xfId="46" xr:uid="{BD13C27D-5E06-48C2-B898-411255F6DCAD}"/>
    <cellStyle name="Note 6 2" xfId="66" xr:uid="{3A703DC5-CD1F-4B10-B390-8F1823B8259A}"/>
    <cellStyle name="Note 6 2 2" xfId="113" xr:uid="{841B53A5-BE39-4C0C-8EEE-0F77DA75EE0F}"/>
    <cellStyle name="Note 6 3" xfId="114" xr:uid="{D2EEDB7C-EE79-4AEC-B9E9-E0FE3BC86816}"/>
    <cellStyle name="Note 6 3 2" xfId="115" xr:uid="{D918BED9-DD02-400B-AE3A-C7539B44602C}"/>
    <cellStyle name="Note 6 3 3" xfId="116" xr:uid="{E111CCB1-39CD-4ED9-A875-FB7E6F216AFA}"/>
    <cellStyle name="Note 6 3 3 2" xfId="117" xr:uid="{78A0864C-5F59-4B30-B74E-A1934AFDF01A}"/>
    <cellStyle name="Note 7" xfId="118" xr:uid="{07A92E2D-0267-4DE5-9CA5-8DBB61BA06C1}"/>
    <cellStyle name="Note 7 2" xfId="119" xr:uid="{547CAE31-FACF-4010-8C3E-07E720141FE2}"/>
    <cellStyle name="Output 2" xfId="53" xr:uid="{A9E8EF2C-DA59-43D4-BD67-A4D90A2DE736}"/>
    <cellStyle name="Output 2 2" xfId="73" xr:uid="{8AEB3584-7A20-4B8B-9C0A-3EF166968E21}"/>
    <cellStyle name="Percent" xfId="1" builtinId="5"/>
    <cellStyle name="Percent 2" xfId="61" xr:uid="{DD8E3C47-4AB9-4444-B5A1-691692B968DE}"/>
    <cellStyle name="Percent 2 2" xfId="121" xr:uid="{B4CC3930-4631-4315-8FE8-1CC0CC1AADCF}"/>
    <cellStyle name="Percent 3" xfId="62" xr:uid="{05601077-B052-4F73-B86E-508C901DA129}"/>
    <cellStyle name="Percent 4" xfId="120" xr:uid="{41071517-D4F8-44D0-88ED-48597CA346B4}"/>
    <cellStyle name="Title 2" xfId="54" xr:uid="{41C5F7A7-5D02-449E-A8C3-199D2F5ED82F}"/>
    <cellStyle name="Total 2" xfId="55" xr:uid="{39996B3B-F09A-4BBA-8E5C-21886677BA59}"/>
    <cellStyle name="Total 2 2" xfId="74" xr:uid="{1AE1B103-A81B-4B78-B9C9-177ABE99836D}"/>
    <cellStyle name="Warning Text 2" xfId="56" xr:uid="{B5FD8A61-208E-4565-963D-B60DADC3FE43}"/>
  </cellStyles>
  <dxfs count="8">
    <dxf>
      <font>
        <color theme="0"/>
      </font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5" tint="0.79998168889431442"/>
        </patternFill>
      </fill>
    </dxf>
    <dxf>
      <fill>
        <patternFill>
          <bgColor rgb="FFFF99FF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FFCCFF"/>
      <color rgb="FFFF99FF"/>
      <color rgb="FFCCECFF"/>
      <color rgb="FFFFFF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104774</xdr:colOff>
      <xdr:row>3</xdr:row>
      <xdr:rowOff>76200</xdr:rowOff>
    </xdr:from>
    <xdr:to>
      <xdr:col>16</xdr:col>
      <xdr:colOff>592455</xdr:colOff>
      <xdr:row>4</xdr:row>
      <xdr:rowOff>276061</xdr:rowOff>
    </xdr:to>
    <xdr:pic>
      <xdr:nvPicPr>
        <xdr:cNvPr id="7" name="Picture 6" descr="Ashley | Home Furniture &amp; Decor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28"/>
        <a:stretch/>
      </xdr:blipFill>
      <xdr:spPr bwMode="auto">
        <a:xfrm>
          <a:off x="9163049" y="1162050"/>
          <a:ext cx="3240406" cy="5808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pageSetUpPr fitToPage="1"/>
  </sheetPr>
  <dimension ref="A1:AG55"/>
  <sheetViews>
    <sheetView showGridLines="0" tabSelected="1" topLeftCell="G1" zoomScale="80" zoomScaleNormal="80" zoomScaleSheetLayoutView="90" workbookViewId="0">
      <selection activeCell="K4" sqref="K4"/>
    </sheetView>
  </sheetViews>
  <sheetFormatPr defaultRowHeight="14.4"/>
  <cols>
    <col min="1" max="2" width="9.109375" hidden="1" customWidth="1"/>
    <col min="3" max="3" width="14.5546875" hidden="1" customWidth="1"/>
    <col min="4" max="4" width="14.44140625" hidden="1" customWidth="1"/>
    <col min="5" max="6" width="9.33203125" hidden="1" customWidth="1"/>
    <col min="7" max="7" width="60.33203125" style="142" customWidth="1"/>
    <col min="8" max="8" width="19.109375" style="103" customWidth="1"/>
    <col min="9" max="11" width="13.109375" bestFit="1" customWidth="1"/>
    <col min="12" max="13" width="10" customWidth="1"/>
    <col min="14" max="14" width="3.5546875" customWidth="1"/>
    <col min="15" max="15" width="8.33203125" customWidth="1"/>
    <col min="16" max="16" width="28.33203125" customWidth="1"/>
    <col min="17" max="17" width="38.109375" customWidth="1"/>
    <col min="18" max="18" width="40.33203125" hidden="1" customWidth="1"/>
    <col min="19" max="19" width="8.5546875" customWidth="1"/>
    <col min="20" max="20" width="48.21875" customWidth="1"/>
    <col min="21" max="21" width="8.5546875" customWidth="1"/>
    <col min="22" max="22" width="34.6640625" customWidth="1"/>
    <col min="23" max="23" width="3.5546875" customWidth="1"/>
    <col min="24" max="24" width="10" customWidth="1"/>
    <col min="25" max="25" width="4" customWidth="1"/>
    <col min="26" max="26" width="25.109375" customWidth="1"/>
    <col min="27" max="27" width="15.44140625" customWidth="1"/>
    <col min="28" max="28" width="11.109375" customWidth="1"/>
    <col min="29" max="29" width="18.33203125" customWidth="1"/>
    <col min="33" max="33" width="0" hidden="1" customWidth="1"/>
    <col min="34" max="34" width="8.88671875" customWidth="1"/>
  </cols>
  <sheetData>
    <row r="1" spans="2:33" ht="28.95" customHeight="1" thickBot="1">
      <c r="G1" s="188" t="s">
        <v>23</v>
      </c>
      <c r="H1" s="189"/>
      <c r="I1" s="40" t="str">
        <f>Q5</f>
        <v>Option 1</v>
      </c>
      <c r="J1" s="40" t="str">
        <f>S5</f>
        <v>Option 2</v>
      </c>
      <c r="K1" s="41" t="str">
        <f>U5</f>
        <v>Option 3</v>
      </c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</row>
    <row r="2" spans="2:33" ht="28.95" customHeight="1" thickBot="1">
      <c r="G2" s="43" t="s">
        <v>24</v>
      </c>
      <c r="H2" s="44"/>
      <c r="I2" s="190" t="s">
        <v>25</v>
      </c>
      <c r="J2" s="191"/>
      <c r="K2" s="19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</row>
    <row r="3" spans="2:33" ht="28.95" customHeight="1" thickBot="1">
      <c r="G3" s="98" t="s">
        <v>26</v>
      </c>
      <c r="H3" s="45" t="s">
        <v>27</v>
      </c>
      <c r="I3" s="157">
        <v>60</v>
      </c>
      <c r="J3" s="157">
        <v>24</v>
      </c>
      <c r="K3" s="158">
        <v>6</v>
      </c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</row>
    <row r="4" spans="2:33" ht="30" customHeight="1" thickBot="1">
      <c r="G4" s="46" t="s">
        <v>28</v>
      </c>
      <c r="H4" s="156" t="s">
        <v>29</v>
      </c>
      <c r="I4" s="159">
        <v>0</v>
      </c>
      <c r="J4" s="159">
        <v>0</v>
      </c>
      <c r="K4" s="160">
        <v>0</v>
      </c>
      <c r="M4" s="42"/>
      <c r="N4" s="47"/>
      <c r="O4" s="48"/>
      <c r="P4" s="48"/>
      <c r="Q4" s="48"/>
      <c r="R4" s="49" t="s">
        <v>2</v>
      </c>
      <c r="S4" s="50" t="s">
        <v>3</v>
      </c>
      <c r="T4" s="49" t="s">
        <v>4</v>
      </c>
      <c r="U4" s="50" t="s">
        <v>30</v>
      </c>
      <c r="V4" s="48"/>
      <c r="W4" s="51"/>
      <c r="X4" s="42"/>
    </row>
    <row r="5" spans="2:33" ht="25.2" customHeight="1" thickBot="1">
      <c r="B5" s="52" t="s">
        <v>31</v>
      </c>
      <c r="C5">
        <v>0</v>
      </c>
      <c r="D5">
        <v>0</v>
      </c>
      <c r="E5">
        <v>0</v>
      </c>
      <c r="G5" s="46" t="s">
        <v>32</v>
      </c>
      <c r="H5" s="45" t="s">
        <v>33</v>
      </c>
      <c r="I5" s="161">
        <v>0.2</v>
      </c>
      <c r="J5" s="161">
        <v>0.2</v>
      </c>
      <c r="K5" s="162">
        <v>0.2</v>
      </c>
      <c r="M5" s="42"/>
      <c r="N5" s="53"/>
      <c r="O5" s="11"/>
      <c r="P5" s="54"/>
      <c r="Q5" s="232" t="s">
        <v>5</v>
      </c>
      <c r="R5" s="232"/>
      <c r="S5" s="232" t="s">
        <v>6</v>
      </c>
      <c r="T5" s="232"/>
      <c r="U5" s="232" t="s">
        <v>7</v>
      </c>
      <c r="V5" s="232"/>
      <c r="W5" s="55"/>
      <c r="X5" s="42"/>
      <c r="Z5" s="244" t="s">
        <v>34</v>
      </c>
      <c r="AA5" s="245"/>
      <c r="AB5" s="245"/>
      <c r="AC5" s="246"/>
      <c r="AG5" s="56">
        <v>0</v>
      </c>
    </row>
    <row r="6" spans="2:33" ht="23.4" customHeight="1">
      <c r="B6" s="52">
        <v>0.1</v>
      </c>
      <c r="C6" s="7">
        <f>Q17*10%</f>
        <v>688.49800000000005</v>
      </c>
      <c r="D6" s="7">
        <f>S17*10%</f>
        <v>634.24800000000005</v>
      </c>
      <c r="E6" s="7">
        <f>U17*10%</f>
        <v>590.84799999999996</v>
      </c>
      <c r="G6" s="46" t="s">
        <v>35</v>
      </c>
      <c r="H6" s="193" t="s">
        <v>36</v>
      </c>
      <c r="I6" s="182">
        <f>INDEX(C5:C11,MATCH(I5,B5:B11,0))</f>
        <v>1376.9960000000001</v>
      </c>
      <c r="J6" s="182">
        <f>INDEX(D5:D11,MATCH(J5,B5:B11,0))</f>
        <v>1268.4960000000001</v>
      </c>
      <c r="K6" s="180">
        <f>INDEX(E5:E11,MATCH(K5,B5:B11,0))</f>
        <v>1181.6959999999999</v>
      </c>
      <c r="M6" s="42"/>
      <c r="N6" s="57"/>
      <c r="O6" s="184" t="s">
        <v>8</v>
      </c>
      <c r="P6" s="185"/>
      <c r="Q6" s="233">
        <v>60</v>
      </c>
      <c r="R6" s="233"/>
      <c r="S6" s="233">
        <f>J3</f>
        <v>24</v>
      </c>
      <c r="T6" s="233"/>
      <c r="U6" s="233">
        <f>K3</f>
        <v>6</v>
      </c>
      <c r="V6" s="234"/>
      <c r="W6" s="55"/>
      <c r="X6" s="42"/>
      <c r="Z6" s="247"/>
      <c r="AA6" s="248"/>
      <c r="AB6" s="248"/>
      <c r="AC6" s="249"/>
      <c r="AG6" s="19">
        <v>9.9900000000000003E-2</v>
      </c>
    </row>
    <row r="7" spans="2:33" ht="13.2" customHeight="1" thickBot="1">
      <c r="B7" s="56">
        <v>0.15</v>
      </c>
      <c r="C7" s="7">
        <f>Q17*15%</f>
        <v>1032.7469999999998</v>
      </c>
      <c r="D7" s="7">
        <f>S17*15%</f>
        <v>951.37199999999984</v>
      </c>
      <c r="E7" s="7">
        <f>U17*15%</f>
        <v>886.27199999999993</v>
      </c>
      <c r="G7" s="46" t="s">
        <v>37</v>
      </c>
      <c r="H7" s="194"/>
      <c r="I7" s="183"/>
      <c r="J7" s="183"/>
      <c r="K7" s="181"/>
      <c r="M7" s="42"/>
      <c r="N7" s="57"/>
      <c r="O7" s="59"/>
      <c r="P7" s="60" t="s">
        <v>38</v>
      </c>
      <c r="Q7" s="235">
        <f>I4</f>
        <v>0</v>
      </c>
      <c r="R7" s="237"/>
      <c r="S7" s="235">
        <f>J4</f>
        <v>0</v>
      </c>
      <c r="T7" s="237"/>
      <c r="U7" s="235">
        <f>K4</f>
        <v>0</v>
      </c>
      <c r="V7" s="236"/>
      <c r="W7" s="55"/>
      <c r="X7" s="42"/>
      <c r="Z7" s="247"/>
      <c r="AA7" s="248"/>
      <c r="AB7" s="248"/>
      <c r="AC7" s="249"/>
      <c r="AG7" s="19">
        <v>0.14990000000000001</v>
      </c>
    </row>
    <row r="8" spans="2:33" ht="25.2" customHeight="1" thickBot="1">
      <c r="B8" s="52">
        <v>0.2</v>
      </c>
      <c r="C8" s="7">
        <f>Q17*20%</f>
        <v>1376.9960000000001</v>
      </c>
      <c r="D8" s="7">
        <f>S17*20%</f>
        <v>1268.4960000000001</v>
      </c>
      <c r="E8" s="7">
        <f>U17*20%</f>
        <v>1181.6959999999999</v>
      </c>
      <c r="G8" s="63"/>
      <c r="H8" s="64" t="s">
        <v>39</v>
      </c>
      <c r="I8" s="65"/>
      <c r="J8" s="65"/>
      <c r="K8" s="66"/>
      <c r="L8" s="202" t="s">
        <v>40</v>
      </c>
      <c r="M8" s="42"/>
      <c r="N8" s="53"/>
      <c r="O8" s="186" t="s">
        <v>9</v>
      </c>
      <c r="P8" s="187"/>
      <c r="Q8" s="221">
        <f>I9</f>
        <v>5000</v>
      </c>
      <c r="R8" s="221"/>
      <c r="S8" s="259">
        <f>Q8</f>
        <v>5000</v>
      </c>
      <c r="T8" s="259"/>
      <c r="U8" s="221">
        <f>Q8</f>
        <v>5000</v>
      </c>
      <c r="V8" s="258"/>
      <c r="W8" s="55"/>
      <c r="X8" s="42"/>
      <c r="Z8" s="247"/>
      <c r="AA8" s="248"/>
      <c r="AB8" s="248"/>
      <c r="AC8" s="249"/>
    </row>
    <row r="9" spans="2:33" s="67" customFormat="1" ht="20.25" customHeight="1">
      <c r="B9" s="61">
        <v>0.3</v>
      </c>
      <c r="C9" s="62">
        <f>Q17*30%</f>
        <v>2065.4939999999997</v>
      </c>
      <c r="D9" s="62">
        <f>S17*30%</f>
        <v>1902.7439999999997</v>
      </c>
      <c r="E9" s="62">
        <f>U17*30%</f>
        <v>1772.5439999999999</v>
      </c>
      <c r="G9" s="68" t="s">
        <v>41</v>
      </c>
      <c r="H9" s="69" t="s">
        <v>42</v>
      </c>
      <c r="I9" s="195">
        <v>5000</v>
      </c>
      <c r="J9" s="196"/>
      <c r="K9" s="197"/>
      <c r="L9" s="203"/>
      <c r="M9" s="70"/>
      <c r="N9" s="71"/>
      <c r="O9" s="277" t="s">
        <v>10</v>
      </c>
      <c r="P9" s="278"/>
      <c r="Q9" s="36">
        <f>IF(I11=0,IF(I10=0,0,I10),"")</f>
        <v>0</v>
      </c>
      <c r="R9" s="72">
        <f>IF(I11=0,Q9*Q8,I11)</f>
        <v>0</v>
      </c>
      <c r="S9" s="38">
        <f>IF(J11=0,IF(J10=0,0,J10),"")</f>
        <v>0.1</v>
      </c>
      <c r="T9" s="73">
        <f>IF(J11=0,S9*S8,J11)</f>
        <v>500</v>
      </c>
      <c r="U9" s="36">
        <f>IF(K11=0,IF(K10=0,0,K10),"")</f>
        <v>0.18</v>
      </c>
      <c r="V9" s="74">
        <f>IF(K11=0,U9*U8,K11)</f>
        <v>900</v>
      </c>
      <c r="W9" s="75"/>
      <c r="X9" s="76"/>
      <c r="Z9" s="256" t="s">
        <v>43</v>
      </c>
      <c r="AA9" s="257"/>
      <c r="AB9" s="254">
        <v>0.24990000000000001</v>
      </c>
      <c r="AC9" s="255"/>
    </row>
    <row r="10" spans="2:33" ht="25.2" customHeight="1">
      <c r="B10" t="s">
        <v>44</v>
      </c>
      <c r="C10" s="7">
        <f>Q16+Q15</f>
        <v>934.99</v>
      </c>
      <c r="D10" s="7">
        <f>S16+S15</f>
        <v>892.49</v>
      </c>
      <c r="E10" s="7">
        <f>U16+U15</f>
        <v>858.49</v>
      </c>
      <c r="G10" s="46" t="s">
        <v>45</v>
      </c>
      <c r="H10" s="77" t="s">
        <v>46</v>
      </c>
      <c r="I10" s="78"/>
      <c r="J10" s="78">
        <v>0.1</v>
      </c>
      <c r="K10" s="79">
        <v>0.18</v>
      </c>
      <c r="L10" s="203"/>
      <c r="M10" s="70"/>
      <c r="N10" s="53"/>
      <c r="O10" s="285" t="s">
        <v>9</v>
      </c>
      <c r="P10" s="286"/>
      <c r="Q10" s="219">
        <f>I12</f>
        <v>0</v>
      </c>
      <c r="R10" s="219"/>
      <c r="S10" s="218">
        <f>Q10</f>
        <v>0</v>
      </c>
      <c r="T10" s="218"/>
      <c r="U10" s="219">
        <f>S10</f>
        <v>0</v>
      </c>
      <c r="V10" s="220"/>
      <c r="W10" s="55"/>
      <c r="X10" s="42"/>
      <c r="Z10" s="256" t="s">
        <v>47</v>
      </c>
      <c r="AA10" s="257"/>
      <c r="AB10" s="252">
        <v>6</v>
      </c>
      <c r="AC10" s="253"/>
    </row>
    <row r="11" spans="2:33" s="67" customFormat="1" ht="20.25" customHeight="1" thickBot="1">
      <c r="B11" t="s">
        <v>48</v>
      </c>
      <c r="C11" s="62">
        <f>(Q17-C10)*10%+C10</f>
        <v>1529.989</v>
      </c>
      <c r="D11" s="62">
        <f>(S17-C10)*10%+C10</f>
        <v>1475.739</v>
      </c>
      <c r="E11" s="62">
        <f>(U17-C10)*10%+C10</f>
        <v>1432.3389999999999</v>
      </c>
      <c r="G11" s="80" t="s">
        <v>49</v>
      </c>
      <c r="H11" s="64" t="s">
        <v>50</v>
      </c>
      <c r="I11" s="81"/>
      <c r="J11" s="81"/>
      <c r="K11" s="82"/>
      <c r="L11" s="203"/>
      <c r="M11" s="70"/>
      <c r="N11" s="83"/>
      <c r="O11" s="277" t="s">
        <v>10</v>
      </c>
      <c r="P11" s="278"/>
      <c r="Q11" s="36">
        <f>IF(I14=0,IF(I13=0,0,I13),"")</f>
        <v>0</v>
      </c>
      <c r="R11" s="72">
        <f>IF(I14=0,Q11*Q10,I14)</f>
        <v>0</v>
      </c>
      <c r="S11" s="38">
        <f>IF(J14=0,IF(J13=0,0,J13),"")</f>
        <v>0</v>
      </c>
      <c r="T11" s="73">
        <f>IF(J14=0,S11*S10,J14)</f>
        <v>0</v>
      </c>
      <c r="U11" s="36">
        <f>IF(K14=0,IF(K13=0,0,K13),"")</f>
        <v>0</v>
      </c>
      <c r="V11" s="74">
        <f>IF(K14=0,U11*U10,K14)</f>
        <v>0</v>
      </c>
      <c r="W11" s="75"/>
      <c r="X11" s="76"/>
      <c r="Z11" s="256" t="s">
        <v>51</v>
      </c>
      <c r="AA11" s="257"/>
      <c r="AB11" s="250">
        <f>U17</f>
        <v>5908.48</v>
      </c>
      <c r="AC11" s="251"/>
      <c r="AD11"/>
    </row>
    <row r="12" spans="2:33" ht="25.2" customHeight="1">
      <c r="G12" s="68" t="s">
        <v>52</v>
      </c>
      <c r="H12" s="69" t="s">
        <v>53</v>
      </c>
      <c r="I12" s="200"/>
      <c r="J12" s="200"/>
      <c r="K12" s="201"/>
      <c r="L12" s="203"/>
      <c r="M12" s="70"/>
      <c r="N12" s="53"/>
      <c r="O12" s="279" t="s">
        <v>54</v>
      </c>
      <c r="P12" s="280"/>
      <c r="Q12" s="219">
        <f>I17+I21+I20+I25</f>
        <v>0</v>
      </c>
      <c r="R12" s="219"/>
      <c r="S12" s="218">
        <f>Q12</f>
        <v>0</v>
      </c>
      <c r="T12" s="218"/>
      <c r="U12" s="219">
        <f>Q12</f>
        <v>0</v>
      </c>
      <c r="V12" s="220"/>
      <c r="W12" s="55"/>
      <c r="X12" s="84"/>
      <c r="Y12" s="1"/>
      <c r="Z12" s="226" t="s">
        <v>1</v>
      </c>
      <c r="AA12" s="227"/>
      <c r="AB12" s="265">
        <f>-PMT(AB9/12,AB10,AB11)</f>
        <v>1057.7548817496724</v>
      </c>
      <c r="AC12" s="266"/>
    </row>
    <row r="13" spans="2:33" s="67" customFormat="1" ht="20.25" customHeight="1" thickBot="1">
      <c r="G13" s="46" t="s">
        <v>55</v>
      </c>
      <c r="H13" s="77" t="s">
        <v>46</v>
      </c>
      <c r="I13" s="85"/>
      <c r="J13" s="85"/>
      <c r="K13" s="86"/>
      <c r="L13" s="203"/>
      <c r="M13" s="70"/>
      <c r="N13" s="83"/>
      <c r="O13" s="283" t="s">
        <v>10</v>
      </c>
      <c r="P13" s="284"/>
      <c r="Q13" s="87"/>
      <c r="R13" s="88">
        <f>IF(I22=0,I23,I22*I21)+IF(I18=0,I19,I18*I17)+IF(I26=0,I27,I26*I25)</f>
        <v>0</v>
      </c>
      <c r="S13" s="39"/>
      <c r="T13" s="89">
        <f>IF(J22=0,J23,J22*I21)+IF(J18=0,J19,J18*I17)+IF(J26=0,J27,J26*I25)</f>
        <v>0</v>
      </c>
      <c r="U13" s="36"/>
      <c r="V13" s="74">
        <f>IF(K22=0,K23,K22*I21)+IF(K18=0,K19,K18*I17)+IF(K26=0,K27,K26*I25)</f>
        <v>0</v>
      </c>
      <c r="W13" s="75"/>
      <c r="X13" s="76"/>
      <c r="Z13" s="228"/>
      <c r="AA13" s="229"/>
      <c r="AB13" s="267"/>
      <c r="AC13" s="268"/>
      <c r="AD13"/>
    </row>
    <row r="14" spans="2:33" ht="30" customHeight="1" thickBot="1">
      <c r="G14" s="80" t="s">
        <v>56</v>
      </c>
      <c r="H14" s="64" t="s">
        <v>50</v>
      </c>
      <c r="I14" s="81"/>
      <c r="J14" s="81"/>
      <c r="K14" s="82"/>
      <c r="L14" s="203"/>
      <c r="M14" s="70"/>
      <c r="N14" s="57"/>
      <c r="O14" s="281" t="s">
        <v>57</v>
      </c>
      <c r="P14" s="282"/>
      <c r="Q14" s="208">
        <f>IF(I24="",K24,I24)+IF(I15="",K15,I15)</f>
        <v>949.99</v>
      </c>
      <c r="R14" s="208"/>
      <c r="S14" s="208">
        <f>IF(I24="",K24,I24)+IF(I15="",K15,I15)</f>
        <v>949.99</v>
      </c>
      <c r="T14" s="208"/>
      <c r="U14" s="263">
        <f>IF(I24="",K24,I24)+IF(I15="",K15,I15)</f>
        <v>949.99</v>
      </c>
      <c r="V14" s="264"/>
      <c r="W14" s="55"/>
      <c r="X14" s="42"/>
      <c r="Z14" s="228" t="s">
        <v>58</v>
      </c>
      <c r="AA14" s="272"/>
      <c r="AB14" s="269">
        <f>AB12*AB10</f>
        <v>6346.5292904980342</v>
      </c>
      <c r="AC14" s="270"/>
    </row>
    <row r="15" spans="2:33" ht="30" customHeight="1" thickBot="1">
      <c r="G15" s="172" t="s">
        <v>114</v>
      </c>
      <c r="H15" s="45" t="s">
        <v>115</v>
      </c>
      <c r="I15" s="163"/>
      <c r="J15" s="45" t="s">
        <v>65</v>
      </c>
      <c r="K15" s="58">
        <f>IF(I9+I12=0,0,Formulas!K44)</f>
        <v>949.99</v>
      </c>
      <c r="L15" s="203"/>
      <c r="M15" s="70"/>
      <c r="N15" s="57"/>
      <c r="O15" s="222" t="str">
        <f>INDEX(F41:F43,MATCH(I2,E41:E43,0))</f>
        <v>Completion Services: White Glove, Assembly Included, Service in-home</v>
      </c>
      <c r="P15" s="223"/>
      <c r="Q15" s="210">
        <f>IF(I16="",K16,I16)+IF(I28="",K28,I28)</f>
        <v>509.99</v>
      </c>
      <c r="R15" s="210"/>
      <c r="S15" s="206">
        <f>IF(I16="",K16,I16)+IF(I28="",K28,I28)</f>
        <v>509.99</v>
      </c>
      <c r="T15" s="207"/>
      <c r="U15" s="206">
        <f>IF(I16="",K16,I16)+IF(I28="",K28,I28)</f>
        <v>509.99</v>
      </c>
      <c r="V15" s="209"/>
      <c r="W15" s="55"/>
      <c r="X15" s="92"/>
      <c r="Y15" s="5"/>
      <c r="Z15" s="224" t="s">
        <v>60</v>
      </c>
      <c r="AA15" s="225"/>
      <c r="AB15" s="230">
        <f>AB14-AB11</f>
        <v>438.04929049803468</v>
      </c>
      <c r="AC15" s="231"/>
    </row>
    <row r="16" spans="2:33" ht="20.25" customHeight="1" thickBot="1">
      <c r="G16" s="122" t="s">
        <v>113</v>
      </c>
      <c r="H16" s="64" t="s">
        <v>116</v>
      </c>
      <c r="I16" s="81"/>
      <c r="J16" s="64" t="s">
        <v>65</v>
      </c>
      <c r="K16" s="123">
        <f>IF(I9+I12=0,0,Formulas!C44)</f>
        <v>509.99</v>
      </c>
      <c r="L16" s="203"/>
      <c r="M16" s="70"/>
      <c r="N16" s="93"/>
      <c r="O16" s="273" t="s">
        <v>11</v>
      </c>
      <c r="P16" s="274"/>
      <c r="Q16" s="208">
        <f>(Q10+Q8+Q12-R9-R11-R13)*$V$27+L26+L27</f>
        <v>425.00000000000006</v>
      </c>
      <c r="R16" s="208"/>
      <c r="S16" s="263">
        <f>(S10+S8+S12-T9-T11-T13)*$V$27+L26+L27</f>
        <v>382.5</v>
      </c>
      <c r="T16" s="271"/>
      <c r="U16" s="263">
        <f>(U10+U8+U12-V9-V11-V13)*$V$27+L26+L27</f>
        <v>348.5</v>
      </c>
      <c r="V16" s="264"/>
      <c r="W16" s="55"/>
      <c r="X16" s="92"/>
      <c r="Y16" s="5"/>
      <c r="Z16" s="260" t="s">
        <v>61</v>
      </c>
      <c r="AA16" s="261"/>
      <c r="AB16" s="261"/>
      <c r="AC16" s="262"/>
    </row>
    <row r="17" spans="1:30" ht="25.2" customHeight="1">
      <c r="G17" s="68" t="s">
        <v>111</v>
      </c>
      <c r="H17" s="69" t="s">
        <v>59</v>
      </c>
      <c r="I17" s="238"/>
      <c r="J17" s="239"/>
      <c r="K17" s="240"/>
      <c r="L17" s="203"/>
      <c r="M17" s="70"/>
      <c r="N17" s="93"/>
      <c r="O17" s="275" t="s">
        <v>12</v>
      </c>
      <c r="P17" s="276"/>
      <c r="Q17" s="204">
        <f>Q8+Q12-R9+Q14+Q16+Q10-R11+Q15-R13</f>
        <v>6884.98</v>
      </c>
      <c r="R17" s="204"/>
      <c r="S17" s="204">
        <f>S8+S12-T9+S14+S16+S10-T11+S15-T13</f>
        <v>6342.48</v>
      </c>
      <c r="T17" s="204"/>
      <c r="U17" s="204">
        <f>U8+U12-V9+U14+U16+U10-V11+U15-V13</f>
        <v>5908.48</v>
      </c>
      <c r="V17" s="205"/>
      <c r="W17" s="55"/>
      <c r="X17" s="92"/>
      <c r="Y17" s="5"/>
      <c r="Z17" s="96"/>
      <c r="AA17" s="96"/>
      <c r="AB17" s="96"/>
      <c r="AC17" s="96"/>
    </row>
    <row r="18" spans="1:30" ht="20.25" customHeight="1">
      <c r="G18" s="46" t="s">
        <v>45</v>
      </c>
      <c r="H18" s="77" t="s">
        <v>46</v>
      </c>
      <c r="I18" s="78"/>
      <c r="J18" s="78"/>
      <c r="K18" s="79"/>
      <c r="L18" s="203"/>
      <c r="M18" s="70"/>
      <c r="N18" s="57"/>
      <c r="O18" s="216" t="s">
        <v>13</v>
      </c>
      <c r="P18" s="217"/>
      <c r="Q18" s="37">
        <f>IF(Q17=0,"",IF(Q6=0,"",R18/Q17))</f>
        <v>0.20000000000000004</v>
      </c>
      <c r="R18" s="90">
        <f>IF(I8="",I6,I8)</f>
        <v>1376.9960000000001</v>
      </c>
      <c r="S18" s="37">
        <f>IF(S17=0,"",IF(S6=0,"",T18/S17))</f>
        <v>0.20000000000000004</v>
      </c>
      <c r="T18" s="90">
        <f>IF(J8="",J6,J8)</f>
        <v>1268.4960000000001</v>
      </c>
      <c r="U18" s="37">
        <f>IF(U17=0,"",IF(U6=0,"",V18/U17))</f>
        <v>0.2</v>
      </c>
      <c r="V18" s="91">
        <f>IF(K8="",K6,K8)</f>
        <v>1181.6959999999999</v>
      </c>
      <c r="W18" s="55"/>
      <c r="X18" s="42"/>
      <c r="Z18" s="171"/>
      <c r="AA18" s="171"/>
      <c r="AB18" s="171"/>
      <c r="AC18" s="171"/>
      <c r="AD18" s="171"/>
    </row>
    <row r="19" spans="1:30" ht="20.25" customHeight="1" thickBot="1">
      <c r="G19" s="46" t="s">
        <v>49</v>
      </c>
      <c r="H19" s="77" t="s">
        <v>50</v>
      </c>
      <c r="I19" s="94"/>
      <c r="J19" s="94"/>
      <c r="K19" s="95"/>
      <c r="L19" s="202"/>
      <c r="M19" s="70"/>
      <c r="N19" s="93"/>
      <c r="O19" s="216" t="s">
        <v>14</v>
      </c>
      <c r="P19" s="217"/>
      <c r="Q19" s="206">
        <f>IF(Q6=0,"PIF",Q17-R18)</f>
        <v>5507.9839999999995</v>
      </c>
      <c r="R19" s="207"/>
      <c r="S19" s="206">
        <f>IF(S6=0,"PIF",S17-T18)</f>
        <v>5073.9839999999995</v>
      </c>
      <c r="T19" s="207"/>
      <c r="U19" s="206">
        <f>IF(U6=0,"PIF",U17-V18)</f>
        <v>4726.7839999999997</v>
      </c>
      <c r="V19" s="209"/>
      <c r="W19" s="55"/>
      <c r="X19" s="100"/>
      <c r="Y19" s="101"/>
      <c r="Z19" s="171"/>
      <c r="AA19" s="171"/>
      <c r="AB19" s="171"/>
      <c r="AC19" s="171"/>
      <c r="AD19" s="171"/>
    </row>
    <row r="20" spans="1:30" ht="30" customHeight="1" thickBot="1">
      <c r="G20" s="80" t="s">
        <v>62</v>
      </c>
      <c r="H20" s="97" t="s">
        <v>63</v>
      </c>
      <c r="I20" s="295"/>
      <c r="J20" s="296"/>
      <c r="K20" s="297"/>
      <c r="L20" s="202"/>
      <c r="M20" s="70"/>
      <c r="N20" s="53"/>
      <c r="O20" s="212" t="s">
        <v>15</v>
      </c>
      <c r="P20" s="213"/>
      <c r="Q20" s="331">
        <f>IF(Q6=0,Q17,IF(Q6&gt;18,-PMT(Q7/12,Q6,Q19*1.02),-PMT(Q7/12,Q6,Q19)))</f>
        <v>93.635727999999986</v>
      </c>
      <c r="R20" s="332"/>
      <c r="S20" s="331">
        <f>IF(S6=0,S17,IF(S6&gt;18,-PMT(S7/12,S6,S19*1.02),-PMT(S7/12,S6,S19)))</f>
        <v>215.64431999999999</v>
      </c>
      <c r="T20" s="332"/>
      <c r="U20" s="331">
        <f>IF(U6=0,U17,IF(U6&gt;18,-PMT(U7/12,U6,U19*1.02),-PMT(U7/12,U6,U19)))</f>
        <v>787.79733333333331</v>
      </c>
      <c r="V20" s="332"/>
      <c r="W20" s="55"/>
      <c r="X20" s="92"/>
      <c r="Y20" s="5"/>
      <c r="Z20" s="304" t="s">
        <v>108</v>
      </c>
      <c r="AA20" s="305"/>
      <c r="AB20" s="305"/>
      <c r="AC20" s="306"/>
      <c r="AD20" s="171"/>
    </row>
    <row r="21" spans="1:30" ht="18" customHeight="1" thickBot="1">
      <c r="G21" s="98" t="s">
        <v>112</v>
      </c>
      <c r="H21" s="99" t="s">
        <v>64</v>
      </c>
      <c r="I21" s="238"/>
      <c r="J21" s="239"/>
      <c r="K21" s="240"/>
      <c r="L21" s="202"/>
      <c r="M21" s="70"/>
      <c r="N21" s="53"/>
      <c r="O21" s="214"/>
      <c r="P21" s="215"/>
      <c r="Q21" s="333"/>
      <c r="R21" s="334"/>
      <c r="S21" s="333"/>
      <c r="T21" s="334"/>
      <c r="U21" s="333"/>
      <c r="V21" s="334"/>
      <c r="W21" s="55"/>
      <c r="X21" s="92"/>
      <c r="Y21" s="5"/>
      <c r="Z21" s="307"/>
      <c r="AA21" s="308"/>
      <c r="AB21" s="308"/>
      <c r="AC21" s="309"/>
      <c r="AD21" s="171"/>
    </row>
    <row r="22" spans="1:30" ht="20.25" customHeight="1" thickBot="1">
      <c r="G22" s="46" t="s">
        <v>45</v>
      </c>
      <c r="H22" s="77" t="s">
        <v>46</v>
      </c>
      <c r="I22" s="78"/>
      <c r="J22" s="78"/>
      <c r="K22" s="79"/>
      <c r="L22" s="202"/>
      <c r="M22" s="70"/>
      <c r="N22" s="53"/>
      <c r="O22" s="211" t="s">
        <v>104</v>
      </c>
      <c r="P22" s="211"/>
      <c r="Q22" s="211"/>
      <c r="R22" s="211"/>
      <c r="S22" s="211"/>
      <c r="T22" s="211"/>
      <c r="U22" s="211"/>
      <c r="V22" s="211"/>
      <c r="W22" s="55"/>
      <c r="X22" s="100"/>
      <c r="Y22" s="101"/>
      <c r="Z22" s="310" t="e" vm="1">
        <v>#VALUE!</v>
      </c>
      <c r="AA22" s="311"/>
      <c r="AB22" s="256" t="s">
        <v>110</v>
      </c>
      <c r="AC22" s="317"/>
      <c r="AD22" s="171"/>
    </row>
    <row r="23" spans="1:30" ht="20.25" customHeight="1">
      <c r="A23" s="198"/>
      <c r="B23" s="198"/>
      <c r="C23" s="198"/>
      <c r="D23" s="103"/>
      <c r="G23" s="46" t="s">
        <v>49</v>
      </c>
      <c r="H23" s="77" t="s">
        <v>50</v>
      </c>
      <c r="I23" s="94"/>
      <c r="J23" s="94"/>
      <c r="K23" s="95"/>
      <c r="M23" s="42"/>
      <c r="N23" s="53"/>
      <c r="O23" s="105"/>
      <c r="P23" s="106" t="s">
        <v>16</v>
      </c>
      <c r="Q23" s="107"/>
      <c r="R23" s="48"/>
      <c r="S23" s="107"/>
      <c r="T23" s="48"/>
      <c r="U23" s="107"/>
      <c r="V23" s="51"/>
      <c r="W23" s="55"/>
      <c r="X23" s="92"/>
      <c r="Y23" s="108"/>
      <c r="Z23" s="310"/>
      <c r="AA23" s="311"/>
      <c r="AB23" s="315">
        <f>U19</f>
        <v>4726.7839999999997</v>
      </c>
      <c r="AC23" s="316"/>
      <c r="AD23" s="171"/>
    </row>
    <row r="24" spans="1:30" ht="20.25" customHeight="1" thickBot="1">
      <c r="G24" s="80" t="s">
        <v>103</v>
      </c>
      <c r="H24" s="97" t="s">
        <v>102</v>
      </c>
      <c r="I24" s="102"/>
      <c r="J24" s="64" t="s">
        <v>65</v>
      </c>
      <c r="K24" s="177">
        <f>IF(I21&gt;1,Formulas!Q6,0)</f>
        <v>0</v>
      </c>
      <c r="M24" s="42"/>
      <c r="N24" s="53"/>
      <c r="O24" s="109"/>
      <c r="P24" s="110" t="s">
        <v>17</v>
      </c>
      <c r="Q24" s="111"/>
      <c r="R24" s="112"/>
      <c r="S24" s="111"/>
      <c r="T24" s="112"/>
      <c r="U24" s="111"/>
      <c r="V24" s="113"/>
      <c r="W24" s="55"/>
      <c r="X24" s="92"/>
      <c r="Y24" s="108"/>
      <c r="Z24" s="310"/>
      <c r="AA24" s="311"/>
      <c r="AB24" s="315"/>
      <c r="AC24" s="316"/>
      <c r="AD24" s="171"/>
    </row>
    <row r="25" spans="1:30" ht="20.25" customHeight="1">
      <c r="A25" s="199"/>
      <c r="B25" s="199"/>
      <c r="C25" s="199"/>
      <c r="D25" s="199"/>
      <c r="E25" s="199"/>
      <c r="F25" s="199"/>
      <c r="G25" s="68" t="s">
        <v>106</v>
      </c>
      <c r="H25" s="104" t="s">
        <v>66</v>
      </c>
      <c r="I25" s="238"/>
      <c r="J25" s="239"/>
      <c r="K25" s="240"/>
      <c r="L25" s="114"/>
      <c r="M25" s="115"/>
      <c r="N25" s="53"/>
      <c r="O25" s="109"/>
      <c r="P25" s="110" t="s">
        <v>18</v>
      </c>
      <c r="Q25" s="325" t="s">
        <v>19</v>
      </c>
      <c r="R25" s="326"/>
      <c r="S25" s="325" t="s">
        <v>19</v>
      </c>
      <c r="T25" s="326"/>
      <c r="U25" s="325" t="s">
        <v>19</v>
      </c>
      <c r="V25" s="327"/>
      <c r="W25" s="55"/>
      <c r="X25" s="42"/>
      <c r="Z25" s="312" t="s">
        <v>109</v>
      </c>
      <c r="AA25" s="313"/>
      <c r="AB25" s="313"/>
      <c r="AC25" s="314"/>
      <c r="AD25" s="171"/>
    </row>
    <row r="26" spans="1:30" ht="20.25" customHeight="1" thickBot="1">
      <c r="A26" s="199"/>
      <c r="B26" s="199"/>
      <c r="C26" s="199"/>
      <c r="D26" s="199"/>
      <c r="E26" s="199"/>
      <c r="F26" s="199"/>
      <c r="G26" s="46" t="s">
        <v>107</v>
      </c>
      <c r="H26" s="77" t="s">
        <v>46</v>
      </c>
      <c r="I26" s="78"/>
      <c r="J26" s="78"/>
      <c r="K26" s="79"/>
      <c r="L26" s="16">
        <f>IF(COUNTBLANK(J32)=0,Q15*V27,0)</f>
        <v>0</v>
      </c>
      <c r="M26" s="34"/>
      <c r="N26" s="53"/>
      <c r="O26" s="116"/>
      <c r="P26" s="117" t="s">
        <v>20</v>
      </c>
      <c r="Q26" s="118"/>
      <c r="R26" s="119"/>
      <c r="S26" s="120"/>
      <c r="T26" s="119"/>
      <c r="U26" s="120"/>
      <c r="V26" s="121"/>
      <c r="W26" s="55"/>
      <c r="X26" s="42"/>
      <c r="Z26" s="312"/>
      <c r="AA26" s="313"/>
      <c r="AB26" s="313"/>
      <c r="AC26" s="314"/>
      <c r="AD26" s="171"/>
    </row>
    <row r="27" spans="1:30" ht="20.25" customHeight="1">
      <c r="A27" s="199"/>
      <c r="B27" s="199"/>
      <c r="C27" s="199"/>
      <c r="D27" s="199"/>
      <c r="E27" s="199"/>
      <c r="F27" s="199"/>
      <c r="G27" s="46" t="s">
        <v>67</v>
      </c>
      <c r="H27" s="174" t="s">
        <v>50</v>
      </c>
      <c r="I27" s="175"/>
      <c r="J27" s="175"/>
      <c r="K27" s="176"/>
      <c r="L27" s="17">
        <f>IF(COUNTBLANK(J33)=0,Q14*V27,0)</f>
        <v>0</v>
      </c>
      <c r="M27" s="35"/>
      <c r="N27" s="53"/>
      <c r="O27" s="164" t="str">
        <f ca="1">"PRINTED: "&amp; TEXT(NOW(),"m/d/y h:mm")</f>
        <v>PRINTED: 3/21/25 23:54</v>
      </c>
      <c r="R27" s="124" t="s">
        <v>21</v>
      </c>
      <c r="S27" s="125"/>
      <c r="T27" s="125"/>
      <c r="U27" s="124" t="s">
        <v>22</v>
      </c>
      <c r="V27" s="126">
        <f>I31</f>
        <v>8.5000000000000006E-2</v>
      </c>
      <c r="W27" s="55"/>
      <c r="X27" s="42"/>
      <c r="Z27" s="298">
        <f>IF(AB23&lt;300,15,ROUNDUP(AB23*0.05,0))</f>
        <v>237</v>
      </c>
      <c r="AA27" s="299"/>
      <c r="AB27" s="299"/>
      <c r="AC27" s="300"/>
      <c r="AD27" s="171"/>
    </row>
    <row r="28" spans="1:30" ht="8.6999999999999993" customHeight="1" thickBot="1">
      <c r="G28" s="287" t="s">
        <v>118</v>
      </c>
      <c r="H28" s="242" t="s">
        <v>117</v>
      </c>
      <c r="I28" s="243"/>
      <c r="J28" s="242" t="s">
        <v>65</v>
      </c>
      <c r="K28" s="241">
        <f>IF(I17+I21=0,0,IF(I21=0,IF(I17&gt;=2000,0,99.99),99.99))</f>
        <v>0</v>
      </c>
      <c r="L28" s="114"/>
      <c r="M28" s="115"/>
      <c r="N28" s="131"/>
      <c r="O28" s="18"/>
      <c r="P28" s="18"/>
      <c r="Q28" s="18"/>
      <c r="R28" s="18"/>
      <c r="S28" s="18"/>
      <c r="T28" s="18"/>
      <c r="U28" s="18"/>
      <c r="V28" s="18"/>
      <c r="W28" s="132"/>
      <c r="X28" s="42"/>
      <c r="Z28" s="298"/>
      <c r="AA28" s="299"/>
      <c r="AB28" s="299"/>
      <c r="AC28" s="300"/>
      <c r="AD28" s="171"/>
    </row>
    <row r="29" spans="1:30" ht="20.25" customHeight="1" thickBot="1">
      <c r="G29" s="287"/>
      <c r="H29" s="242"/>
      <c r="I29" s="243"/>
      <c r="J29" s="242"/>
      <c r="K29" s="241"/>
      <c r="L29" s="114"/>
      <c r="M29" s="115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Z29" s="301"/>
      <c r="AA29" s="302"/>
      <c r="AB29" s="302"/>
      <c r="AC29" s="303"/>
      <c r="AD29" s="171"/>
    </row>
    <row r="30" spans="1:30" ht="20.25" customHeight="1">
      <c r="G30" s="127"/>
      <c r="H30" s="128"/>
      <c r="I30" s="129"/>
      <c r="J30" s="129"/>
      <c r="K30" s="130"/>
      <c r="P30" s="4"/>
      <c r="Q30" s="318"/>
      <c r="R30" s="318"/>
      <c r="S30" s="318"/>
      <c r="T30" s="318"/>
      <c r="U30" s="318"/>
      <c r="V30" s="318"/>
    </row>
    <row r="31" spans="1:30" ht="20.25" customHeight="1" thickBot="1">
      <c r="G31" s="173" t="s">
        <v>68</v>
      </c>
      <c r="H31" s="133" t="s">
        <v>22</v>
      </c>
      <c r="I31" s="288">
        <v>8.5000000000000006E-2</v>
      </c>
      <c r="J31" s="289"/>
      <c r="K31" s="290"/>
    </row>
    <row r="32" spans="1:30" ht="23.4">
      <c r="G32" s="46"/>
      <c r="H32" s="291" t="s">
        <v>69</v>
      </c>
      <c r="I32" s="292"/>
      <c r="J32" s="134"/>
      <c r="K32" s="135" t="s">
        <v>70</v>
      </c>
      <c r="P32" s="319" t="s">
        <v>71</v>
      </c>
      <c r="Q32" s="320"/>
      <c r="R32" s="320"/>
      <c r="S32" s="320"/>
      <c r="T32" s="320"/>
      <c r="U32" s="320"/>
      <c r="V32" s="321"/>
    </row>
    <row r="33" spans="1:22" ht="24" thickBot="1">
      <c r="G33" s="80"/>
      <c r="H33" s="293" t="s">
        <v>101</v>
      </c>
      <c r="I33" s="294"/>
      <c r="J33" s="136"/>
      <c r="K33" s="137" t="s">
        <v>70</v>
      </c>
      <c r="P33" s="322"/>
      <c r="Q33" s="323"/>
      <c r="R33" s="323"/>
      <c r="S33" s="323"/>
      <c r="T33" s="323"/>
      <c r="U33" s="323"/>
      <c r="V33" s="324"/>
    </row>
    <row r="34" spans="1:22">
      <c r="P34" s="138"/>
      <c r="Q34" s="139" t="s">
        <v>72</v>
      </c>
      <c r="R34" s="139" t="s">
        <v>73</v>
      </c>
      <c r="S34" s="140" t="s">
        <v>74</v>
      </c>
      <c r="T34" s="139" t="s">
        <v>75</v>
      </c>
      <c r="V34" s="141" t="s">
        <v>76</v>
      </c>
    </row>
    <row r="35" spans="1:22" ht="14.7" customHeight="1">
      <c r="P35" s="143" t="s">
        <v>77</v>
      </c>
      <c r="Q35" s="144"/>
      <c r="R35" s="14">
        <f>SUM(N36:N55)</f>
        <v>3196.99</v>
      </c>
      <c r="S35" s="145"/>
      <c r="T35" s="14">
        <f>SUM(T36:T55)</f>
        <v>599.495</v>
      </c>
      <c r="V35" s="30">
        <f>SUM(V36:V55)</f>
        <v>2597.4949999999999</v>
      </c>
    </row>
    <row r="36" spans="1:22">
      <c r="N36" s="146">
        <f>IF(COUNTBLANK(R36:S36)=0,R36*S36,0)</f>
        <v>1499</v>
      </c>
      <c r="P36" s="147" t="s">
        <v>78</v>
      </c>
      <c r="Q36" s="148"/>
      <c r="R36" s="149">
        <v>1499</v>
      </c>
      <c r="S36" s="169">
        <v>1</v>
      </c>
      <c r="T36" s="15">
        <f>S36*R36*Q36</f>
        <v>0</v>
      </c>
      <c r="V36" s="31">
        <f>S36*R36-T36</f>
        <v>1499</v>
      </c>
    </row>
    <row r="37" spans="1:22">
      <c r="N37" s="146">
        <f t="shared" ref="N37:N55" si="0">IF(COUNTBLANK(R37:S37)=0,R37*S37,0)</f>
        <v>999</v>
      </c>
      <c r="P37" s="147" t="s">
        <v>79</v>
      </c>
      <c r="Q37" s="148">
        <v>0.5</v>
      </c>
      <c r="R37" s="149">
        <v>999</v>
      </c>
      <c r="S37" s="169">
        <v>1</v>
      </c>
      <c r="T37" s="15">
        <f>S37*R37*Q37</f>
        <v>499.5</v>
      </c>
      <c r="V37" s="31">
        <f t="shared" ref="V37:V55" si="1">S37*R37-T37</f>
        <v>499.5</v>
      </c>
    </row>
    <row r="38" spans="1:22" ht="14.7" customHeight="1">
      <c r="N38" s="146">
        <f t="shared" si="0"/>
        <v>499</v>
      </c>
      <c r="P38" s="147" t="s">
        <v>80</v>
      </c>
      <c r="Q38" s="148"/>
      <c r="R38" s="149">
        <v>499</v>
      </c>
      <c r="S38" s="169">
        <v>1</v>
      </c>
      <c r="T38" s="15">
        <f t="shared" ref="T38:T55" si="2">S38*R38*Q38</f>
        <v>0</v>
      </c>
      <c r="V38" s="31">
        <f t="shared" si="1"/>
        <v>499</v>
      </c>
    </row>
    <row r="39" spans="1:22" ht="14.7" customHeight="1">
      <c r="N39" s="146">
        <f t="shared" si="0"/>
        <v>199.99</v>
      </c>
      <c r="P39" s="147" t="s">
        <v>81</v>
      </c>
      <c r="Q39" s="148">
        <v>0.5</v>
      </c>
      <c r="R39" s="149">
        <v>199.99</v>
      </c>
      <c r="S39" s="169">
        <v>1</v>
      </c>
      <c r="T39" s="15">
        <f t="shared" si="2"/>
        <v>99.995000000000005</v>
      </c>
      <c r="V39" s="31">
        <f t="shared" si="1"/>
        <v>99.995000000000005</v>
      </c>
    </row>
    <row r="40" spans="1:22" ht="14.7" customHeight="1">
      <c r="A40" t="str">
        <f>IF(O15=E40,"E","")</f>
        <v/>
      </c>
      <c r="E40" s="153" t="s">
        <v>82</v>
      </c>
      <c r="F40" s="153" t="s">
        <v>82</v>
      </c>
      <c r="N40" s="146">
        <f t="shared" si="0"/>
        <v>0</v>
      </c>
      <c r="P40" s="147"/>
      <c r="Q40" s="148"/>
      <c r="R40" s="149"/>
      <c r="S40" s="169">
        <v>1</v>
      </c>
      <c r="T40" s="15">
        <f t="shared" si="2"/>
        <v>0</v>
      </c>
      <c r="V40" s="31">
        <f t="shared" si="1"/>
        <v>0</v>
      </c>
    </row>
    <row r="41" spans="1:22" ht="14.7" customHeight="1">
      <c r="A41" s="67" t="str">
        <f>IF(O15=F41,"W","")</f>
        <v>W</v>
      </c>
      <c r="B41" s="67"/>
      <c r="C41" s="154"/>
      <c r="D41" s="154"/>
      <c r="E41" s="155" t="s">
        <v>25</v>
      </c>
      <c r="F41" s="155" t="s">
        <v>83</v>
      </c>
      <c r="N41" s="146">
        <f t="shared" si="0"/>
        <v>0</v>
      </c>
      <c r="P41" s="147"/>
      <c r="Q41" s="148"/>
      <c r="R41" s="149"/>
      <c r="S41" s="169">
        <v>1</v>
      </c>
      <c r="T41" s="15">
        <f t="shared" si="2"/>
        <v>0</v>
      </c>
      <c r="V41" s="31">
        <f t="shared" si="1"/>
        <v>0</v>
      </c>
    </row>
    <row r="42" spans="1:22" ht="14.7" customHeight="1">
      <c r="A42" t="str">
        <f>IF(O15=F42,"D","")</f>
        <v/>
      </c>
      <c r="E42" s="153" t="s">
        <v>84</v>
      </c>
      <c r="F42" s="153" t="s">
        <v>85</v>
      </c>
      <c r="N42" s="146">
        <f t="shared" si="0"/>
        <v>0</v>
      </c>
      <c r="P42" s="147"/>
      <c r="Q42" s="148"/>
      <c r="R42" s="149"/>
      <c r="S42" s="169">
        <v>1</v>
      </c>
      <c r="T42" s="15">
        <f t="shared" si="2"/>
        <v>0</v>
      </c>
      <c r="V42" s="31">
        <f t="shared" si="1"/>
        <v>0</v>
      </c>
    </row>
    <row r="43" spans="1:22" ht="14.7" customHeight="1">
      <c r="A43" s="67" t="str">
        <f>IF(O15=F43,"P","")</f>
        <v/>
      </c>
      <c r="B43" s="67"/>
      <c r="C43" s="67"/>
      <c r="D43" s="67"/>
      <c r="E43" s="155" t="s">
        <v>86</v>
      </c>
      <c r="F43" s="155" t="s">
        <v>87</v>
      </c>
      <c r="N43" s="146">
        <f t="shared" si="0"/>
        <v>0</v>
      </c>
      <c r="P43" s="147"/>
      <c r="Q43" s="148"/>
      <c r="R43" s="149"/>
      <c r="S43" s="169">
        <v>1</v>
      </c>
      <c r="T43" s="15">
        <f t="shared" si="2"/>
        <v>0</v>
      </c>
      <c r="V43" s="31">
        <f t="shared" si="1"/>
        <v>0</v>
      </c>
    </row>
    <row r="44" spans="1:22" ht="14.7" customHeight="1">
      <c r="E44" s="153"/>
      <c r="F44" s="153"/>
      <c r="N44" s="146">
        <f t="shared" si="0"/>
        <v>0</v>
      </c>
      <c r="P44" s="147"/>
      <c r="Q44" s="148"/>
      <c r="R44" s="149"/>
      <c r="S44" s="169">
        <v>1</v>
      </c>
      <c r="T44" s="15">
        <f t="shared" si="2"/>
        <v>0</v>
      </c>
      <c r="V44" s="31">
        <f t="shared" si="1"/>
        <v>0</v>
      </c>
    </row>
    <row r="45" spans="1:22" ht="14.7" customHeight="1">
      <c r="A45" s="67" t="str">
        <f>A41&amp;A42&amp;A43&amp;A40</f>
        <v>W</v>
      </c>
      <c r="B45" s="67"/>
      <c r="C45" s="67"/>
      <c r="D45" s="67"/>
      <c r="E45" s="67"/>
      <c r="N45" s="146">
        <f t="shared" si="0"/>
        <v>0</v>
      </c>
      <c r="P45" s="147"/>
      <c r="Q45" s="148"/>
      <c r="R45" s="149"/>
      <c r="S45" s="169">
        <v>1</v>
      </c>
      <c r="T45" s="15">
        <f t="shared" si="2"/>
        <v>0</v>
      </c>
      <c r="V45" s="31">
        <f t="shared" si="1"/>
        <v>0</v>
      </c>
    </row>
    <row r="46" spans="1:22" ht="14.7" customHeight="1">
      <c r="N46" s="146">
        <f t="shared" si="0"/>
        <v>0</v>
      </c>
      <c r="P46" s="147"/>
      <c r="Q46" s="148"/>
      <c r="R46" s="149"/>
      <c r="S46" s="169">
        <v>1</v>
      </c>
      <c r="T46" s="15">
        <f t="shared" si="2"/>
        <v>0</v>
      </c>
      <c r="V46" s="31">
        <f t="shared" si="1"/>
        <v>0</v>
      </c>
    </row>
    <row r="47" spans="1:22" ht="14.7" customHeight="1">
      <c r="N47" s="146">
        <f t="shared" si="0"/>
        <v>0</v>
      </c>
      <c r="P47" s="147"/>
      <c r="Q47" s="148"/>
      <c r="R47" s="149"/>
      <c r="S47" s="169">
        <v>1</v>
      </c>
      <c r="T47" s="15">
        <f t="shared" si="2"/>
        <v>0</v>
      </c>
      <c r="V47" s="31">
        <f t="shared" si="1"/>
        <v>0</v>
      </c>
    </row>
    <row r="48" spans="1:22" ht="14.7" customHeight="1">
      <c r="N48" s="146">
        <f t="shared" si="0"/>
        <v>0</v>
      </c>
      <c r="P48" s="147"/>
      <c r="Q48" s="148"/>
      <c r="R48" s="149"/>
      <c r="S48" s="169">
        <v>1</v>
      </c>
      <c r="T48" s="15">
        <f t="shared" si="2"/>
        <v>0</v>
      </c>
      <c r="V48" s="31">
        <f t="shared" si="1"/>
        <v>0</v>
      </c>
    </row>
    <row r="49" spans="14:22" ht="14.7" customHeight="1">
      <c r="N49" s="146">
        <f t="shared" si="0"/>
        <v>0</v>
      </c>
      <c r="P49" s="147"/>
      <c r="Q49" s="148"/>
      <c r="R49" s="149"/>
      <c r="S49" s="169">
        <v>1</v>
      </c>
      <c r="T49" s="15">
        <f t="shared" si="2"/>
        <v>0</v>
      </c>
      <c r="V49" s="31">
        <f t="shared" si="1"/>
        <v>0</v>
      </c>
    </row>
    <row r="50" spans="14:22" ht="14.7" customHeight="1">
      <c r="N50" s="146">
        <f t="shared" si="0"/>
        <v>0</v>
      </c>
      <c r="P50" s="147"/>
      <c r="Q50" s="148"/>
      <c r="R50" s="149"/>
      <c r="S50" s="169">
        <v>1</v>
      </c>
      <c r="T50" s="15">
        <f t="shared" si="2"/>
        <v>0</v>
      </c>
      <c r="V50" s="31">
        <f t="shared" si="1"/>
        <v>0</v>
      </c>
    </row>
    <row r="51" spans="14:22">
      <c r="N51" s="146">
        <f t="shared" si="0"/>
        <v>0</v>
      </c>
      <c r="P51" s="147"/>
      <c r="Q51" s="148"/>
      <c r="R51" s="149"/>
      <c r="S51" s="169">
        <v>1</v>
      </c>
      <c r="T51" s="15">
        <f t="shared" si="2"/>
        <v>0</v>
      </c>
      <c r="V51" s="31">
        <f t="shared" si="1"/>
        <v>0</v>
      </c>
    </row>
    <row r="52" spans="14:22">
      <c r="N52" s="146">
        <f t="shared" si="0"/>
        <v>0</v>
      </c>
      <c r="P52" s="147"/>
      <c r="Q52" s="148"/>
      <c r="R52" s="149"/>
      <c r="S52" s="169">
        <v>1</v>
      </c>
      <c r="T52" s="15">
        <f t="shared" si="2"/>
        <v>0</v>
      </c>
      <c r="V52" s="31">
        <f t="shared" si="1"/>
        <v>0</v>
      </c>
    </row>
    <row r="53" spans="14:22">
      <c r="N53" s="146">
        <f t="shared" si="0"/>
        <v>0</v>
      </c>
      <c r="P53" s="147"/>
      <c r="Q53" s="148"/>
      <c r="R53" s="149"/>
      <c r="S53" s="169">
        <v>1</v>
      </c>
      <c r="T53" s="15">
        <f t="shared" si="2"/>
        <v>0</v>
      </c>
      <c r="V53" s="31">
        <f t="shared" si="1"/>
        <v>0</v>
      </c>
    </row>
    <row r="54" spans="14:22">
      <c r="N54" s="146">
        <f t="shared" si="0"/>
        <v>0</v>
      </c>
      <c r="P54" s="147"/>
      <c r="Q54" s="148"/>
      <c r="R54" s="149"/>
      <c r="S54" s="169">
        <v>1</v>
      </c>
      <c r="T54" s="15">
        <f t="shared" si="2"/>
        <v>0</v>
      </c>
      <c r="V54" s="31">
        <f t="shared" si="1"/>
        <v>0</v>
      </c>
    </row>
    <row r="55" spans="14:22" ht="15" thickBot="1">
      <c r="N55" s="146">
        <f t="shared" si="0"/>
        <v>0</v>
      </c>
      <c r="P55" s="150"/>
      <c r="Q55" s="151"/>
      <c r="R55" s="152"/>
      <c r="S55" s="170">
        <v>1</v>
      </c>
      <c r="T55" s="32">
        <f t="shared" si="2"/>
        <v>0</v>
      </c>
      <c r="U55" s="18"/>
      <c r="V55" s="33">
        <f t="shared" si="1"/>
        <v>0</v>
      </c>
    </row>
  </sheetData>
  <protectedRanges>
    <protectedRange sqref="I31:K31" name="Range7"/>
    <protectedRange sqref="I2 I8:K14 I18:K20 I22:K23 I24 I25:K27 I15:I16 I31 J32:J33 I29" name="Main Yellow Edit Area"/>
    <protectedRange sqref="P36:R55" name="Scratch Pad"/>
    <protectedRange sqref="AB9:AC10" name="CC Calc"/>
    <protectedRange sqref="S4 U4:V4" name="Name"/>
    <protectedRange sqref="I3:K5" name="Range6"/>
    <protectedRange sqref="S36:S55" name="Range8"/>
    <protectedRange sqref="I2:K2" name="Range9"/>
    <protectedRange sqref="I17:K17 I21:K21 I28" name="Range10"/>
  </protectedRanges>
  <mergeCells count="101">
    <mergeCell ref="G28:G29"/>
    <mergeCell ref="I31:K31"/>
    <mergeCell ref="H32:I32"/>
    <mergeCell ref="H33:I33"/>
    <mergeCell ref="I25:K25"/>
    <mergeCell ref="I20:K20"/>
    <mergeCell ref="Z27:AC29"/>
    <mergeCell ref="Z20:AC21"/>
    <mergeCell ref="Z22:AA24"/>
    <mergeCell ref="Z25:AC26"/>
    <mergeCell ref="AB23:AC24"/>
    <mergeCell ref="AB22:AC22"/>
    <mergeCell ref="Q30:R30"/>
    <mergeCell ref="U30:V30"/>
    <mergeCell ref="S30:T30"/>
    <mergeCell ref="P32:V33"/>
    <mergeCell ref="H28:H29"/>
    <mergeCell ref="Q25:R25"/>
    <mergeCell ref="S25:T25"/>
    <mergeCell ref="U25:V25"/>
    <mergeCell ref="O16:P16"/>
    <mergeCell ref="O17:P17"/>
    <mergeCell ref="O9:P9"/>
    <mergeCell ref="Q12:R12"/>
    <mergeCell ref="S12:T12"/>
    <mergeCell ref="Q10:R10"/>
    <mergeCell ref="O11:P11"/>
    <mergeCell ref="O12:P12"/>
    <mergeCell ref="O14:P14"/>
    <mergeCell ref="O13:P13"/>
    <mergeCell ref="O10:P10"/>
    <mergeCell ref="I17:K17"/>
    <mergeCell ref="I21:K21"/>
    <mergeCell ref="K28:K29"/>
    <mergeCell ref="J28:J29"/>
    <mergeCell ref="I28:I29"/>
    <mergeCell ref="Z5:AC8"/>
    <mergeCell ref="AB11:AC11"/>
    <mergeCell ref="AB10:AC10"/>
    <mergeCell ref="AB9:AC9"/>
    <mergeCell ref="Z9:AA9"/>
    <mergeCell ref="Z10:AA10"/>
    <mergeCell ref="Z11:AA11"/>
    <mergeCell ref="U8:V8"/>
    <mergeCell ref="S17:T17"/>
    <mergeCell ref="S8:T8"/>
    <mergeCell ref="S15:T15"/>
    <mergeCell ref="Z16:AC16"/>
    <mergeCell ref="U14:V14"/>
    <mergeCell ref="U15:V15"/>
    <mergeCell ref="U16:V16"/>
    <mergeCell ref="AB12:AC13"/>
    <mergeCell ref="AB14:AC14"/>
    <mergeCell ref="S16:T16"/>
    <mergeCell ref="Z14:AA14"/>
    <mergeCell ref="Z15:AA15"/>
    <mergeCell ref="Z12:AA13"/>
    <mergeCell ref="AB15:AC15"/>
    <mergeCell ref="U12:V12"/>
    <mergeCell ref="Q5:R5"/>
    <mergeCell ref="S5:T5"/>
    <mergeCell ref="U5:V5"/>
    <mergeCell ref="Q6:R6"/>
    <mergeCell ref="S6:T6"/>
    <mergeCell ref="U6:V6"/>
    <mergeCell ref="U7:V7"/>
    <mergeCell ref="Q7:R7"/>
    <mergeCell ref="S7:T7"/>
    <mergeCell ref="A23:C23"/>
    <mergeCell ref="A25:F27"/>
    <mergeCell ref="I12:K12"/>
    <mergeCell ref="L8:L22"/>
    <mergeCell ref="U17:V17"/>
    <mergeCell ref="Q19:R19"/>
    <mergeCell ref="S14:T14"/>
    <mergeCell ref="U19:V19"/>
    <mergeCell ref="Q16:R16"/>
    <mergeCell ref="Q14:R14"/>
    <mergeCell ref="Q15:R15"/>
    <mergeCell ref="Q17:R17"/>
    <mergeCell ref="O22:V22"/>
    <mergeCell ref="Q20:R21"/>
    <mergeCell ref="S20:T21"/>
    <mergeCell ref="U20:V21"/>
    <mergeCell ref="O20:P21"/>
    <mergeCell ref="O19:P19"/>
    <mergeCell ref="O18:P18"/>
    <mergeCell ref="S19:T19"/>
    <mergeCell ref="S10:T10"/>
    <mergeCell ref="U10:V10"/>
    <mergeCell ref="Q8:R8"/>
    <mergeCell ref="O15:P15"/>
    <mergeCell ref="K6:K7"/>
    <mergeCell ref="J6:J7"/>
    <mergeCell ref="O6:P6"/>
    <mergeCell ref="O8:P8"/>
    <mergeCell ref="G1:H1"/>
    <mergeCell ref="I2:K2"/>
    <mergeCell ref="H6:H7"/>
    <mergeCell ref="I6:I7"/>
    <mergeCell ref="I9:K9"/>
  </mergeCells>
  <conditionalFormatting sqref="Q8:V12 Q14:V19 U20 S20 Q20">
    <cfRule type="expression" dxfId="7" priority="14">
      <formula>IF(Q8=0,1,0)</formula>
    </cfRule>
  </conditionalFormatting>
  <conditionalFormatting sqref="Q13:V13">
    <cfRule type="expression" dxfId="6" priority="13">
      <formula>IF(Q13=0,1,0)</formula>
    </cfRule>
  </conditionalFormatting>
  <conditionalFormatting sqref="I8:K14 I18:K19 I22:K23 I15:I16 I31 I3:K3 I26:K27 K24 I24:I25 I20">
    <cfRule type="expression" dxfId="5" priority="9">
      <formula>IF(ISTEXT(I3),1,0)</formula>
    </cfRule>
  </conditionalFormatting>
  <conditionalFormatting sqref="I2:K2">
    <cfRule type="cellIs" dxfId="4" priority="7" operator="notEqual">
      <formula>"White Glove"</formula>
    </cfRule>
  </conditionalFormatting>
  <conditionalFormatting sqref="I8:K8">
    <cfRule type="cellIs" dxfId="3" priority="6" operator="notEqual">
      <formula>0</formula>
    </cfRule>
  </conditionalFormatting>
  <conditionalFormatting sqref="I15:I16">
    <cfRule type="cellIs" dxfId="2" priority="5" operator="notEqual">
      <formula>0</formula>
    </cfRule>
  </conditionalFormatting>
  <conditionalFormatting sqref="I4:K4">
    <cfRule type="cellIs" dxfId="1" priority="15" operator="notEqual">
      <formula>0</formula>
    </cfRule>
  </conditionalFormatting>
  <dataValidations count="5">
    <dataValidation type="list" allowBlank="1" showInputMessage="1" showErrorMessage="1" sqref="I2" xr:uid="{EAC15847-C631-45AC-A047-90A59A9A86D3}">
      <formula1>$E$41:$E$43</formula1>
    </dataValidation>
    <dataValidation type="list" allowBlank="1" showInputMessage="1" showErrorMessage="1" sqref="I4:K4" xr:uid="{FCC41928-6ADC-4BDE-8B0A-E6444BD42CBA}">
      <formula1>$AG$5:$AG$8</formula1>
    </dataValidation>
    <dataValidation type="whole" allowBlank="1" showInputMessage="1" showErrorMessage="1" sqref="I3:K3" xr:uid="{BA1D2D03-F7B2-4E53-BD33-4E2A31EFFFF2}">
      <formula1>0</formula1>
      <formula2>500</formula2>
    </dataValidation>
    <dataValidation type="decimal" operator="greaterThan" allowBlank="1" showInputMessage="1" showErrorMessage="1" sqref="I8:K14 J26:K27 J22:K23 I31 I22:I27 I15:I16 I18:I20 J18:K19" xr:uid="{973FE0FD-949B-4C8E-BD2C-60A4E37A6BC5}">
      <formula1>-100000</formula1>
    </dataValidation>
    <dataValidation type="list" allowBlank="1" showInputMessage="1" showErrorMessage="1" sqref="I5:K5" xr:uid="{7A963D85-AD31-4F99-A3D3-694B375FB554}">
      <formula1>$B$5:$B$11</formula1>
    </dataValidation>
  </dataValidations>
  <printOptions horizontalCentered="1" verticalCentered="1"/>
  <pageMargins left="0" right="0.2" top="0.5" bottom="0.5" header="0.3" footer="0.3"/>
  <pageSetup scale="96" orientation="landscape" r:id="rId1"/>
  <ignoredErrors>
    <ignoredError sqref="N37:N39" formulaRange="1"/>
    <ignoredError sqref="R18 S9 S11" formula="1"/>
    <ignoredError sqref="I1:K1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0000"/>
  </sheetPr>
  <dimension ref="A1:V60"/>
  <sheetViews>
    <sheetView topLeftCell="I17" zoomScale="110" zoomScaleNormal="110" workbookViewId="0">
      <selection activeCell="K35" sqref="K35"/>
    </sheetView>
  </sheetViews>
  <sheetFormatPr defaultRowHeight="14.4"/>
  <cols>
    <col min="1" max="1" width="10" customWidth="1"/>
    <col min="2" max="2" width="19.6640625" bestFit="1" customWidth="1"/>
    <col min="3" max="3" width="11.6640625" customWidth="1"/>
    <col min="4" max="5" width="11" customWidth="1"/>
    <col min="6" max="6" width="19.5546875" bestFit="1" customWidth="1"/>
    <col min="7" max="7" width="11" customWidth="1"/>
    <col min="9" max="9" width="11.5546875" bestFit="1" customWidth="1"/>
    <col min="10" max="10" width="16.77734375" bestFit="1" customWidth="1"/>
    <col min="11" max="11" width="10.5546875" bestFit="1" customWidth="1"/>
    <col min="12" max="12" width="13.44140625" bestFit="1" customWidth="1"/>
    <col min="13" max="13" width="15.5546875" customWidth="1"/>
    <col min="15" max="15" width="10.109375" bestFit="1" customWidth="1"/>
    <col min="16" max="16" width="12.109375" bestFit="1" customWidth="1"/>
    <col min="19" max="19" width="7" customWidth="1"/>
    <col min="20" max="20" width="11" customWidth="1"/>
    <col min="21" max="21" width="11.5546875" customWidth="1"/>
  </cols>
  <sheetData>
    <row r="1" spans="1:22" s="5" customFormat="1" ht="15" thickBot="1">
      <c r="A1" s="328" t="s">
        <v>0</v>
      </c>
      <c r="B1" s="329"/>
      <c r="C1" s="165" t="s">
        <v>25</v>
      </c>
      <c r="E1" s="328" t="s">
        <v>0</v>
      </c>
      <c r="F1" s="329"/>
      <c r="G1" s="166" t="s">
        <v>84</v>
      </c>
      <c r="I1" s="328" t="s">
        <v>88</v>
      </c>
      <c r="J1" s="329"/>
      <c r="K1" s="330"/>
      <c r="M1" s="9"/>
      <c r="O1" s="328" t="s">
        <v>89</v>
      </c>
      <c r="P1" s="329"/>
      <c r="Q1" s="330"/>
      <c r="S1" s="328"/>
      <c r="T1" s="329"/>
      <c r="U1" s="330"/>
    </row>
    <row r="2" spans="1:22">
      <c r="A2" s="5" t="s">
        <v>90</v>
      </c>
      <c r="B2" s="5" t="s">
        <v>91</v>
      </c>
      <c r="C2" s="5" t="s">
        <v>92</v>
      </c>
      <c r="E2" s="5" t="s">
        <v>90</v>
      </c>
      <c r="F2" s="5" t="s">
        <v>91</v>
      </c>
      <c r="G2" s="5" t="s">
        <v>92</v>
      </c>
      <c r="I2" s="6" t="s">
        <v>93</v>
      </c>
      <c r="J2" s="6" t="s">
        <v>94</v>
      </c>
      <c r="K2" s="6" t="s">
        <v>95</v>
      </c>
      <c r="O2" s="6" t="s">
        <v>93</v>
      </c>
      <c r="P2" s="6" t="s">
        <v>94</v>
      </c>
      <c r="Q2" s="6" t="s">
        <v>95</v>
      </c>
      <c r="S2" s="1"/>
      <c r="T2" s="5"/>
      <c r="U2" s="5"/>
      <c r="V2" s="1"/>
    </row>
    <row r="3" spans="1:22">
      <c r="A3" s="20">
        <v>0</v>
      </c>
      <c r="B3" s="13">
        <v>499.99</v>
      </c>
      <c r="C3" s="13">
        <v>79.989999999999995</v>
      </c>
      <c r="E3" s="20">
        <v>0</v>
      </c>
      <c r="F3" s="13">
        <v>499.99</v>
      </c>
      <c r="G3" s="13">
        <v>0</v>
      </c>
      <c r="I3" s="13">
        <v>0</v>
      </c>
      <c r="J3" s="13">
        <f>I4-0.01</f>
        <v>399.99</v>
      </c>
      <c r="K3" s="13">
        <v>99.99</v>
      </c>
      <c r="L3" s="22"/>
      <c r="M3" s="3"/>
      <c r="O3" s="13">
        <v>0</v>
      </c>
      <c r="P3" s="13">
        <v>999.99</v>
      </c>
      <c r="Q3" s="13">
        <v>219.99</v>
      </c>
      <c r="S3" s="4"/>
      <c r="T3" s="8"/>
      <c r="U3" s="8"/>
      <c r="V3" s="1"/>
    </row>
    <row r="4" spans="1:22">
      <c r="A4" s="20">
        <v>500</v>
      </c>
      <c r="B4" s="13">
        <f>A5-0.01</f>
        <v>799.99</v>
      </c>
      <c r="C4" s="13">
        <v>99.99</v>
      </c>
      <c r="E4" s="20">
        <v>500</v>
      </c>
      <c r="F4" s="13">
        <f>E5-0.01</f>
        <v>799.99</v>
      </c>
      <c r="G4" s="13">
        <v>79.989999999999995</v>
      </c>
      <c r="I4" s="13">
        <v>400</v>
      </c>
      <c r="J4" s="13">
        <f t="shared" ref="J4:J33" si="0">I5-0.01</f>
        <v>699.99</v>
      </c>
      <c r="K4" s="13">
        <v>159.99</v>
      </c>
      <c r="M4" s="2"/>
      <c r="O4" s="13">
        <v>1000</v>
      </c>
      <c r="P4" s="13">
        <v>799.99</v>
      </c>
      <c r="Q4" s="13">
        <v>319.99</v>
      </c>
      <c r="S4" s="4"/>
      <c r="T4" s="8"/>
      <c r="U4" s="8"/>
      <c r="V4" s="1"/>
    </row>
    <row r="5" spans="1:22" ht="15" thickBot="1">
      <c r="A5" s="20">
        <v>800</v>
      </c>
      <c r="B5" s="13">
        <f t="shared" ref="B5:B15" si="1">A6-0.01</f>
        <v>1299.99</v>
      </c>
      <c r="C5" s="167">
        <v>169.99</v>
      </c>
      <c r="E5" s="20">
        <v>800</v>
      </c>
      <c r="F5" s="13">
        <f t="shared" ref="F5:F15" si="2">E6-0.01</f>
        <v>1299.99</v>
      </c>
      <c r="G5" s="167">
        <v>129.99</v>
      </c>
      <c r="H5" s="29"/>
      <c r="I5" s="13">
        <v>700</v>
      </c>
      <c r="J5" s="13">
        <f t="shared" si="0"/>
        <v>899.99</v>
      </c>
      <c r="K5" s="13">
        <v>199.99</v>
      </c>
      <c r="M5" s="2"/>
      <c r="O5" s="13">
        <v>3000</v>
      </c>
      <c r="P5" s="13">
        <v>100000</v>
      </c>
      <c r="Q5" s="13">
        <v>369.99</v>
      </c>
      <c r="S5" s="4"/>
      <c r="T5" s="8"/>
      <c r="U5" s="8"/>
      <c r="V5" s="1"/>
    </row>
    <row r="6" spans="1:22" ht="15" thickBot="1">
      <c r="A6" s="20">
        <v>1300</v>
      </c>
      <c r="B6" s="13">
        <f t="shared" si="1"/>
        <v>1699.99</v>
      </c>
      <c r="C6" s="167">
        <v>209.99</v>
      </c>
      <c r="E6" s="20">
        <v>1300</v>
      </c>
      <c r="F6" s="13">
        <f t="shared" si="2"/>
        <v>1799.99</v>
      </c>
      <c r="G6" s="167">
        <v>169.99</v>
      </c>
      <c r="H6" s="29"/>
      <c r="I6" s="13">
        <v>900</v>
      </c>
      <c r="J6" s="13">
        <f t="shared" si="0"/>
        <v>1099.99</v>
      </c>
      <c r="K6" s="13">
        <v>269.99</v>
      </c>
      <c r="L6" s="22"/>
      <c r="M6" s="2"/>
      <c r="O6" s="13"/>
      <c r="P6" s="13"/>
      <c r="Q6" s="10">
        <f>IF(C53=0,0,VLOOKUP(C53,Formulas!$O$3:$Q$5,3,TRUE))</f>
        <v>0</v>
      </c>
      <c r="S6" s="4"/>
      <c r="T6" s="8"/>
      <c r="U6" s="8"/>
      <c r="V6" s="1"/>
    </row>
    <row r="7" spans="1:22" ht="15" thickBot="1">
      <c r="A7" s="20">
        <v>1700</v>
      </c>
      <c r="B7" s="13">
        <f t="shared" si="1"/>
        <v>1999.99</v>
      </c>
      <c r="C7" s="167">
        <v>239.99</v>
      </c>
      <c r="E7" s="20">
        <v>1800</v>
      </c>
      <c r="F7" s="13">
        <f t="shared" si="2"/>
        <v>1999.99</v>
      </c>
      <c r="G7" s="167">
        <v>199.99</v>
      </c>
      <c r="H7" s="29"/>
      <c r="I7" s="13">
        <v>1100</v>
      </c>
      <c r="J7" s="13">
        <f t="shared" si="0"/>
        <v>1299.99</v>
      </c>
      <c r="K7" s="13">
        <v>299.99</v>
      </c>
      <c r="M7" s="10"/>
      <c r="O7" s="13"/>
      <c r="P7" s="13"/>
      <c r="Q7" s="13"/>
      <c r="T7" s="7"/>
      <c r="U7" s="10"/>
    </row>
    <row r="8" spans="1:22">
      <c r="A8" s="20">
        <v>2000</v>
      </c>
      <c r="B8" s="13">
        <f t="shared" si="1"/>
        <v>2499.9899999999998</v>
      </c>
      <c r="C8" s="167">
        <v>269.99</v>
      </c>
      <c r="E8" s="20">
        <v>2000</v>
      </c>
      <c r="F8" s="13">
        <f t="shared" si="2"/>
        <v>2499.9899999999998</v>
      </c>
      <c r="G8" s="167">
        <v>229.99</v>
      </c>
      <c r="H8" s="29"/>
      <c r="I8" s="13">
        <v>1300</v>
      </c>
      <c r="J8" s="13">
        <f t="shared" si="0"/>
        <v>1499.99</v>
      </c>
      <c r="K8" s="13">
        <v>349.99</v>
      </c>
      <c r="O8" s="13"/>
      <c r="P8" s="13"/>
      <c r="Q8" s="13"/>
    </row>
    <row r="9" spans="1:22">
      <c r="A9" s="20">
        <v>2500</v>
      </c>
      <c r="B9" s="13">
        <f t="shared" si="1"/>
        <v>2999.99</v>
      </c>
      <c r="C9" s="167">
        <v>309.99</v>
      </c>
      <c r="E9" s="20">
        <v>2500</v>
      </c>
      <c r="F9" s="13">
        <f t="shared" si="2"/>
        <v>2999.99</v>
      </c>
      <c r="G9" s="167">
        <v>259.99</v>
      </c>
      <c r="H9" s="29"/>
      <c r="I9" s="13">
        <v>1500</v>
      </c>
      <c r="J9" s="13">
        <f t="shared" si="0"/>
        <v>1699.99</v>
      </c>
      <c r="K9" s="13">
        <v>369.99</v>
      </c>
      <c r="O9" s="13"/>
      <c r="P9" s="13"/>
      <c r="Q9" s="13"/>
    </row>
    <row r="10" spans="1:22">
      <c r="A10" s="20">
        <v>3000</v>
      </c>
      <c r="B10" s="13">
        <f t="shared" si="1"/>
        <v>3499.99</v>
      </c>
      <c r="C10" s="167">
        <v>359.99</v>
      </c>
      <c r="E10" s="20">
        <v>3000</v>
      </c>
      <c r="F10" s="13">
        <f t="shared" si="2"/>
        <v>3499.99</v>
      </c>
      <c r="G10" s="167">
        <v>319.99</v>
      </c>
      <c r="H10" s="29"/>
      <c r="I10" s="13">
        <v>1700</v>
      </c>
      <c r="J10" s="13">
        <f t="shared" si="0"/>
        <v>1799.99</v>
      </c>
      <c r="K10" s="13">
        <v>389.99</v>
      </c>
    </row>
    <row r="11" spans="1:22">
      <c r="A11" s="20">
        <v>3500</v>
      </c>
      <c r="B11" s="13">
        <f t="shared" si="1"/>
        <v>3999.99</v>
      </c>
      <c r="C11" s="167">
        <v>399.99</v>
      </c>
      <c r="E11" s="20">
        <v>3500</v>
      </c>
      <c r="F11" s="13">
        <f t="shared" si="2"/>
        <v>3999.99</v>
      </c>
      <c r="G11" s="167">
        <v>359.99</v>
      </c>
      <c r="H11" s="29"/>
      <c r="I11" s="13">
        <v>1800</v>
      </c>
      <c r="J11" s="13">
        <f t="shared" si="0"/>
        <v>2099.9899999999998</v>
      </c>
      <c r="K11" s="13">
        <v>409.99</v>
      </c>
      <c r="P11" s="4"/>
      <c r="Q11" s="8"/>
    </row>
    <row r="12" spans="1:22">
      <c r="A12" s="20">
        <v>4000</v>
      </c>
      <c r="B12" s="13">
        <f t="shared" si="1"/>
        <v>4999.99</v>
      </c>
      <c r="C12" s="167">
        <v>459.99</v>
      </c>
      <c r="E12" s="20">
        <v>4000</v>
      </c>
      <c r="F12" s="13">
        <f t="shared" si="2"/>
        <v>4999.99</v>
      </c>
      <c r="G12" s="167">
        <v>419.99</v>
      </c>
      <c r="H12" s="29"/>
      <c r="I12" s="13">
        <v>2100</v>
      </c>
      <c r="J12" s="13">
        <f t="shared" si="0"/>
        <v>2299.9899999999998</v>
      </c>
      <c r="K12" s="13">
        <v>429.99</v>
      </c>
      <c r="P12" s="4"/>
      <c r="Q12" s="8"/>
    </row>
    <row r="13" spans="1:22">
      <c r="A13" s="20">
        <v>5000</v>
      </c>
      <c r="B13" s="13">
        <f t="shared" si="1"/>
        <v>5999.99</v>
      </c>
      <c r="C13" s="167">
        <v>509.99</v>
      </c>
      <c r="E13" s="20">
        <v>5000</v>
      </c>
      <c r="F13" s="13">
        <f t="shared" si="2"/>
        <v>5999.99</v>
      </c>
      <c r="G13" s="167">
        <v>459.99</v>
      </c>
      <c r="H13" s="29"/>
      <c r="I13" s="13">
        <v>2300</v>
      </c>
      <c r="J13" s="13">
        <f t="shared" si="0"/>
        <v>2499.9899999999998</v>
      </c>
      <c r="K13" s="13">
        <v>459.99</v>
      </c>
      <c r="L13" s="22"/>
      <c r="P13" s="4"/>
      <c r="Q13" s="8"/>
    </row>
    <row r="14" spans="1:22">
      <c r="A14" s="20">
        <v>6000</v>
      </c>
      <c r="B14" s="13">
        <f t="shared" si="1"/>
        <v>6999.99</v>
      </c>
      <c r="C14" s="12">
        <v>599.99</v>
      </c>
      <c r="E14" s="20">
        <v>6000</v>
      </c>
      <c r="F14" s="13">
        <f t="shared" si="2"/>
        <v>6999.99</v>
      </c>
      <c r="G14" s="168">
        <v>519.99</v>
      </c>
      <c r="H14" s="29"/>
      <c r="I14" s="13">
        <v>2500</v>
      </c>
      <c r="J14" s="13">
        <f t="shared" si="0"/>
        <v>2599.9899999999998</v>
      </c>
      <c r="K14" s="13">
        <v>489.99</v>
      </c>
      <c r="L14" s="22"/>
      <c r="P14" s="4"/>
      <c r="Q14" s="8"/>
    </row>
    <row r="15" spans="1:22">
      <c r="A15" s="21">
        <v>7000</v>
      </c>
      <c r="B15" s="13">
        <f t="shared" si="1"/>
        <v>9999.99</v>
      </c>
      <c r="C15" s="12">
        <v>619.99</v>
      </c>
      <c r="E15" s="21">
        <v>7000</v>
      </c>
      <c r="F15" s="13">
        <f t="shared" si="2"/>
        <v>9999.99</v>
      </c>
      <c r="G15" s="12">
        <v>589.99</v>
      </c>
      <c r="I15" s="13">
        <v>2600</v>
      </c>
      <c r="J15" s="13">
        <f t="shared" si="0"/>
        <v>2799.99</v>
      </c>
      <c r="K15" s="13">
        <v>519.99</v>
      </c>
      <c r="N15" s="8"/>
    </row>
    <row r="16" spans="1:22">
      <c r="A16" s="20">
        <v>10000</v>
      </c>
      <c r="B16" s="13">
        <v>100000000000</v>
      </c>
      <c r="C16" s="12">
        <v>719.99</v>
      </c>
      <c r="E16" s="20">
        <v>10000</v>
      </c>
      <c r="F16" s="13">
        <v>100000000000</v>
      </c>
      <c r="G16" s="12">
        <v>689.99</v>
      </c>
      <c r="I16" s="13">
        <v>2800</v>
      </c>
      <c r="J16" s="13">
        <f t="shared" si="0"/>
        <v>2999.99</v>
      </c>
      <c r="K16" s="13">
        <v>569.99</v>
      </c>
      <c r="N16" s="8"/>
    </row>
    <row r="17" spans="1:14">
      <c r="A17" s="21"/>
      <c r="B17" s="21"/>
      <c r="C17" s="12">
        <f>VLOOKUP((SUM(C48:C49)),Formulas!$A$3:$C$16,3,TRUE)</f>
        <v>509.99</v>
      </c>
      <c r="D17">
        <f>VLOOKUP(B17,Formulas!$A$3:$C$16,3,TRUE)</f>
        <v>79.989999999999995</v>
      </c>
      <c r="G17">
        <f>VLOOKUP((SUM(C48:C49)),Formulas!$E$3:$G$16,3,TRUE)</f>
        <v>459.99</v>
      </c>
      <c r="I17" s="13">
        <v>3000</v>
      </c>
      <c r="J17" s="13">
        <f t="shared" si="0"/>
        <v>3299.99</v>
      </c>
      <c r="K17" s="13">
        <v>609.99</v>
      </c>
      <c r="N17" s="8"/>
    </row>
    <row r="18" spans="1:14">
      <c r="I18" s="13">
        <v>3300</v>
      </c>
      <c r="J18" s="13">
        <f t="shared" si="0"/>
        <v>3399.99</v>
      </c>
      <c r="K18" s="13">
        <v>629.99</v>
      </c>
      <c r="N18" s="8"/>
    </row>
    <row r="19" spans="1:14">
      <c r="I19" s="12">
        <v>3400</v>
      </c>
      <c r="J19" s="13">
        <f t="shared" si="0"/>
        <v>3499.99</v>
      </c>
      <c r="K19" s="12">
        <v>649.99</v>
      </c>
      <c r="N19" s="8"/>
    </row>
    <row r="20" spans="1:14">
      <c r="I20" s="12">
        <v>3500</v>
      </c>
      <c r="J20" s="13">
        <f t="shared" si="0"/>
        <v>3799.99</v>
      </c>
      <c r="K20" s="12">
        <v>679.99</v>
      </c>
      <c r="N20" s="8"/>
    </row>
    <row r="21" spans="1:14">
      <c r="I21" s="12">
        <v>3800</v>
      </c>
      <c r="J21" s="13">
        <f t="shared" si="0"/>
        <v>3899.99</v>
      </c>
      <c r="K21" s="12">
        <v>699.99</v>
      </c>
      <c r="N21" s="8"/>
    </row>
    <row r="22" spans="1:14">
      <c r="I22" s="12">
        <v>3900</v>
      </c>
      <c r="J22" s="13">
        <f t="shared" si="0"/>
        <v>3999.99</v>
      </c>
      <c r="K22" s="12">
        <v>719.99</v>
      </c>
      <c r="N22" s="8"/>
    </row>
    <row r="23" spans="1:14">
      <c r="I23" s="12">
        <v>4000</v>
      </c>
      <c r="J23" s="13">
        <f t="shared" si="0"/>
        <v>4399.99</v>
      </c>
      <c r="K23" s="12">
        <v>779.99</v>
      </c>
      <c r="N23" s="8"/>
    </row>
    <row r="24" spans="1:14">
      <c r="I24" s="178">
        <v>4400</v>
      </c>
      <c r="J24" s="13">
        <f t="shared" si="0"/>
        <v>4499.99</v>
      </c>
      <c r="K24" s="178">
        <v>799.99</v>
      </c>
      <c r="N24" s="8"/>
    </row>
    <row r="25" spans="1:14">
      <c r="I25" s="178">
        <v>4500</v>
      </c>
      <c r="J25" s="13">
        <f t="shared" si="0"/>
        <v>4899.99</v>
      </c>
      <c r="K25" s="178">
        <v>849.99</v>
      </c>
      <c r="N25" s="8"/>
    </row>
    <row r="26" spans="1:14">
      <c r="I26" s="178">
        <v>4900</v>
      </c>
      <c r="J26" s="13">
        <f t="shared" si="0"/>
        <v>4999.99</v>
      </c>
      <c r="K26" s="178">
        <v>899.99</v>
      </c>
      <c r="N26" s="8"/>
    </row>
    <row r="27" spans="1:14">
      <c r="I27" s="178">
        <v>5000</v>
      </c>
      <c r="J27" s="13">
        <f t="shared" si="0"/>
        <v>5799.99</v>
      </c>
      <c r="K27" s="178">
        <v>949.99</v>
      </c>
      <c r="N27" s="8"/>
    </row>
    <row r="28" spans="1:14">
      <c r="I28" s="178">
        <v>5800</v>
      </c>
      <c r="J28" s="13">
        <f t="shared" si="0"/>
        <v>5999.99</v>
      </c>
      <c r="K28" s="178">
        <v>999.99</v>
      </c>
      <c r="N28" s="8"/>
    </row>
    <row r="29" spans="1:14">
      <c r="I29" s="178">
        <v>6000</v>
      </c>
      <c r="J29" s="13">
        <f t="shared" si="0"/>
        <v>6799.99</v>
      </c>
      <c r="K29" s="178">
        <v>1049.99</v>
      </c>
      <c r="N29" s="8"/>
    </row>
    <row r="30" spans="1:14">
      <c r="I30" s="178">
        <v>6800</v>
      </c>
      <c r="J30" s="13">
        <f t="shared" si="0"/>
        <v>6999.99</v>
      </c>
      <c r="K30" s="178">
        <v>1099.99</v>
      </c>
      <c r="N30" s="8"/>
    </row>
    <row r="31" spans="1:14">
      <c r="I31" s="178">
        <v>7000</v>
      </c>
      <c r="J31" s="13">
        <f t="shared" si="0"/>
        <v>7799.99</v>
      </c>
      <c r="K31" s="178">
        <v>1149.99</v>
      </c>
      <c r="N31" s="8"/>
    </row>
    <row r="32" spans="1:14">
      <c r="I32" s="178">
        <v>7800</v>
      </c>
      <c r="J32" s="13">
        <f t="shared" si="0"/>
        <v>9799.99</v>
      </c>
      <c r="K32" s="178">
        <v>1179.99</v>
      </c>
      <c r="N32" s="8"/>
    </row>
    <row r="33" spans="1:14">
      <c r="I33" s="178">
        <v>9800</v>
      </c>
      <c r="J33" s="13">
        <f t="shared" si="0"/>
        <v>14899.99</v>
      </c>
      <c r="K33" s="178">
        <v>1259.99</v>
      </c>
      <c r="N33" s="8"/>
    </row>
    <row r="34" spans="1:14">
      <c r="I34" s="178">
        <v>14900</v>
      </c>
      <c r="J34" s="12">
        <v>900000</v>
      </c>
      <c r="K34" s="178">
        <v>1359.99</v>
      </c>
      <c r="N34" s="8"/>
    </row>
    <row r="35" spans="1:14">
      <c r="I35" s="178"/>
      <c r="J35" s="178"/>
      <c r="K35" s="178"/>
      <c r="N35" s="8"/>
    </row>
    <row r="36" spans="1:14">
      <c r="I36" s="178"/>
      <c r="J36" s="178"/>
      <c r="K36" s="178"/>
      <c r="N36" s="8"/>
    </row>
    <row r="37" spans="1:14">
      <c r="I37" s="178"/>
      <c r="J37" s="178"/>
      <c r="K37" s="178"/>
      <c r="N37" s="8"/>
    </row>
    <row r="38" spans="1:14">
      <c r="I38" s="178"/>
      <c r="J38" s="178"/>
      <c r="K38" s="178"/>
      <c r="N38" s="8"/>
    </row>
    <row r="39" spans="1:14">
      <c r="I39" s="178"/>
      <c r="J39" s="178"/>
      <c r="K39" s="178"/>
      <c r="N39" s="8"/>
    </row>
    <row r="40" spans="1:14">
      <c r="I40" s="178"/>
      <c r="J40" s="178"/>
      <c r="K40" s="178"/>
      <c r="N40" s="8"/>
    </row>
    <row r="41" spans="1:14">
      <c r="I41" s="178"/>
      <c r="J41" s="178"/>
      <c r="K41" s="178"/>
      <c r="N41" s="8"/>
    </row>
    <row r="42" spans="1:14">
      <c r="I42" s="178"/>
      <c r="J42" s="178"/>
      <c r="K42" s="178"/>
      <c r="N42" s="8"/>
    </row>
    <row r="43" spans="1:14" ht="15" thickBot="1">
      <c r="I43" s="178"/>
      <c r="J43" s="178"/>
      <c r="K43" s="178"/>
      <c r="N43" s="8"/>
    </row>
    <row r="44" spans="1:14" ht="15" thickBot="1">
      <c r="A44" t="str">
        <f>tripchoice!A45</f>
        <v>W</v>
      </c>
      <c r="C44" s="10">
        <f>IF(A44="w",D60,IF(A44="d",E60,0))</f>
        <v>509.99</v>
      </c>
      <c r="I44" s="7"/>
      <c r="J44" s="7"/>
      <c r="K44" s="10">
        <f>VLOOKUP(tripchoice!I9+tripchoice!I12,Formulas!$I$3:$K$43,3,TRUE)</f>
        <v>949.99</v>
      </c>
      <c r="L44" s="23"/>
    </row>
    <row r="45" spans="1:14">
      <c r="C45" t="b">
        <v>1</v>
      </c>
      <c r="I45" s="7"/>
      <c r="J45" s="7"/>
      <c r="K45" s="25"/>
      <c r="L45" s="26"/>
    </row>
    <row r="46" spans="1:14">
      <c r="K46" t="b">
        <v>1</v>
      </c>
    </row>
    <row r="48" spans="1:14">
      <c r="B48" t="s">
        <v>96</v>
      </c>
      <c r="C48" s="12">
        <f>tripchoice!I9</f>
        <v>5000</v>
      </c>
    </row>
    <row r="49" spans="2:11">
      <c r="B49" t="s">
        <v>97</v>
      </c>
      <c r="C49" s="12">
        <f>tripchoice!I12</f>
        <v>0</v>
      </c>
    </row>
    <row r="50" spans="2:11">
      <c r="C50" s="12"/>
      <c r="K50" s="7"/>
    </row>
    <row r="51" spans="2:11">
      <c r="C51" s="12"/>
      <c r="I51" s="7"/>
    </row>
    <row r="52" spans="2:11">
      <c r="C52" s="12"/>
      <c r="E52" s="29"/>
    </row>
    <row r="53" spans="2:11">
      <c r="B53" t="s">
        <v>64</v>
      </c>
      <c r="C53" s="179">
        <f>tripchoice!I21</f>
        <v>0</v>
      </c>
    </row>
    <row r="54" spans="2:11">
      <c r="C54" s="12"/>
    </row>
    <row r="55" spans="2:11">
      <c r="B55" s="24"/>
      <c r="C55" s="24"/>
      <c r="D55" s="28" t="s">
        <v>98</v>
      </c>
      <c r="E55" s="28" t="s">
        <v>99</v>
      </c>
    </row>
    <row r="56" spans="2:11">
      <c r="B56" t="s">
        <v>105</v>
      </c>
      <c r="C56" t="b">
        <f>IF(C48+C49&lt;&gt;0,TRUE,FALSE)</f>
        <v>1</v>
      </c>
      <c r="D56" s="12">
        <f>IF(C56,C17,0)</f>
        <v>509.99</v>
      </c>
      <c r="E56" s="12">
        <f>IF(C56,G17,0)</f>
        <v>459.99</v>
      </c>
    </row>
    <row r="57" spans="2:11">
      <c r="D57" s="12"/>
      <c r="E57" s="12"/>
    </row>
    <row r="58" spans="2:11">
      <c r="D58" s="12"/>
      <c r="E58" s="12"/>
    </row>
    <row r="59" spans="2:11">
      <c r="D59" s="12"/>
      <c r="E59" s="12"/>
    </row>
    <row r="60" spans="2:11">
      <c r="B60" s="24" t="s">
        <v>100</v>
      </c>
      <c r="C60" s="24"/>
      <c r="D60" s="27">
        <f>SUM(D56:D59)</f>
        <v>509.99</v>
      </c>
      <c r="E60" s="27">
        <f>SUM(E56:E59)</f>
        <v>459.99</v>
      </c>
    </row>
  </sheetData>
  <mergeCells count="5">
    <mergeCell ref="A1:B1"/>
    <mergeCell ref="E1:F1"/>
    <mergeCell ref="S1:U1"/>
    <mergeCell ref="O1:Q1"/>
    <mergeCell ref="I1:K1"/>
  </mergeCells>
  <dataValidations count="1">
    <dataValidation allowBlank="1" showInputMessage="1" showErrorMessage="1" promptTitle="Adjustable Base Protection" sqref="M3:M6" xr:uid="{00000000-0002-0000-09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tripchoice</vt:lpstr>
      <vt:lpstr>Formulas</vt:lpstr>
      <vt:lpstr>tripchoice!Print_Area</vt:lpstr>
    </vt:vector>
  </TitlesOfParts>
  <Manager>cblackiston@ashleydsg.com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Triple Close Worksheet</dc:title>
  <dc:subject/>
  <dc:creator>cblackiston@ashleydsg.com</dc:creator>
  <cp:keywords>Closing Tools</cp:keywords>
  <dc:description/>
  <cp:lastModifiedBy>Caleb Roy</cp:lastModifiedBy>
  <cp:revision/>
  <cp:lastPrinted>2024-11-23T22:55:47Z</cp:lastPrinted>
  <dcterms:created xsi:type="dcterms:W3CDTF">2016-03-25T14:59:52Z</dcterms:created>
  <dcterms:modified xsi:type="dcterms:W3CDTF">2025-03-22T04:54:26Z</dcterms:modified>
  <cp:category>Sales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9454864-613f-4839-908e-6ec52286a731_Enabled">
    <vt:lpwstr>true</vt:lpwstr>
  </property>
  <property fmtid="{D5CDD505-2E9C-101B-9397-08002B2CF9AE}" pid="3" name="MSIP_Label_29454864-613f-4839-908e-6ec52286a731_SetDate">
    <vt:lpwstr>2023-01-14T17:36:54Z</vt:lpwstr>
  </property>
  <property fmtid="{D5CDD505-2E9C-101B-9397-08002B2CF9AE}" pid="4" name="MSIP_Label_29454864-613f-4839-908e-6ec52286a731_Method">
    <vt:lpwstr>Standard</vt:lpwstr>
  </property>
  <property fmtid="{D5CDD505-2E9C-101B-9397-08002B2CF9AE}" pid="5" name="MSIP_Label_29454864-613f-4839-908e-6ec52286a731_Name">
    <vt:lpwstr>defa4170-0d19-0005-0004-bc88714345d2</vt:lpwstr>
  </property>
  <property fmtid="{D5CDD505-2E9C-101B-9397-08002B2CF9AE}" pid="6" name="MSIP_Label_29454864-613f-4839-908e-6ec52286a731_SiteId">
    <vt:lpwstr>9f7c5ec6-445a-4b26-ac34-dc3bfcfc10bf</vt:lpwstr>
  </property>
  <property fmtid="{D5CDD505-2E9C-101B-9397-08002B2CF9AE}" pid="7" name="MSIP_Label_29454864-613f-4839-908e-6ec52286a731_ActionId">
    <vt:lpwstr>3292b412-5a9b-4e5b-a4c4-2790ad591a49</vt:lpwstr>
  </property>
  <property fmtid="{D5CDD505-2E9C-101B-9397-08002B2CF9AE}" pid="8" name="MSIP_Label_29454864-613f-4839-908e-6ec52286a731_ContentBits">
    <vt:lpwstr>0</vt:lpwstr>
  </property>
</Properties>
</file>